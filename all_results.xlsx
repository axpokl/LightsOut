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8322B291-9E99-4228-96FE-E8A9DEEB04C6}" xr6:coauthVersionLast="47" xr6:coauthVersionMax="47" xr10:uidLastSave="{00000000-0000-0000-0000-000000000000}"/>
  <bookViews>
    <workbookView xWindow="-120" yWindow="-120" windowWidth="24420" windowHeight="1104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55" i="2" l="1"/>
  <c r="Z55" i="2"/>
  <c r="Y55" i="2"/>
  <c r="X55" i="2"/>
  <c r="W55" i="2"/>
  <c r="M55" i="2"/>
  <c r="L55" i="2" s="1"/>
  <c r="U55" i="2" s="1"/>
  <c r="D55" i="2"/>
  <c r="C55" i="2" s="1"/>
  <c r="AA54" i="2"/>
  <c r="Z54" i="2"/>
  <c r="Y54" i="2"/>
  <c r="X54" i="2"/>
  <c r="W54" i="2"/>
  <c r="M54" i="2"/>
  <c r="D54" i="2"/>
  <c r="AA53" i="2"/>
  <c r="Z53" i="2"/>
  <c r="Y53" i="2"/>
  <c r="X53" i="2"/>
  <c r="W53" i="2"/>
  <c r="AA52" i="2"/>
  <c r="Z52" i="2"/>
  <c r="Y52" i="2"/>
  <c r="X52" i="2"/>
  <c r="W52" i="2"/>
  <c r="M53" i="2"/>
  <c r="K53" i="2" s="1"/>
  <c r="M52" i="2"/>
  <c r="K52" i="2" s="1"/>
  <c r="D53" i="2"/>
  <c r="D52" i="2"/>
  <c r="AA51" i="2"/>
  <c r="Z51" i="2"/>
  <c r="Y51" i="2"/>
  <c r="X51" i="2"/>
  <c r="W51" i="2"/>
  <c r="M51" i="2"/>
  <c r="D51" i="2"/>
  <c r="AA50" i="2"/>
  <c r="Z50" i="2"/>
  <c r="Y50" i="2"/>
  <c r="X50" i="2"/>
  <c r="W50" i="2"/>
  <c r="D50" i="2"/>
  <c r="M50" i="2"/>
  <c r="AA49" i="2"/>
  <c r="Z49" i="2"/>
  <c r="Y49" i="2"/>
  <c r="X49" i="2"/>
  <c r="W49" i="2"/>
  <c r="M49" i="2"/>
  <c r="D49" i="2"/>
  <c r="AA48" i="2"/>
  <c r="Z48" i="2"/>
  <c r="Y48" i="2"/>
  <c r="X48" i="2"/>
  <c r="W48" i="2"/>
  <c r="M48" i="2"/>
  <c r="D48" i="2"/>
  <c r="AA47" i="2"/>
  <c r="Z47" i="2"/>
  <c r="Y47" i="2"/>
  <c r="X47" i="2"/>
  <c r="W47" i="2"/>
  <c r="M47" i="2"/>
  <c r="D47" i="2"/>
  <c r="AA46" i="2"/>
  <c r="Z46" i="2"/>
  <c r="Y46" i="2"/>
  <c r="X46" i="2"/>
  <c r="W46" i="2"/>
  <c r="M46" i="2"/>
  <c r="D46" i="2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V55" i="2" l="1"/>
  <c r="K55" i="2"/>
  <c r="T55" i="2" s="1"/>
  <c r="B55" i="2"/>
  <c r="L52" i="2"/>
  <c r="V54" i="2"/>
  <c r="L54" i="2"/>
  <c r="V53" i="2"/>
  <c r="C53" i="2"/>
  <c r="U53" i="2" s="1"/>
  <c r="K54" i="2"/>
  <c r="L53" i="2"/>
  <c r="C54" i="2"/>
  <c r="U54" i="2" s="1"/>
  <c r="B54" i="2"/>
  <c r="T54" i="2" s="1"/>
  <c r="V52" i="2"/>
  <c r="B52" i="2"/>
  <c r="T52" i="2" s="1"/>
  <c r="C52" i="2"/>
  <c r="U52" i="2" s="1"/>
  <c r="B53" i="2"/>
  <c r="T53" i="2" s="1"/>
  <c r="C51" i="2"/>
  <c r="L51" i="2"/>
  <c r="U51" i="2"/>
  <c r="V51" i="2"/>
  <c r="K51" i="2"/>
  <c r="B51" i="2"/>
  <c r="C50" i="2"/>
  <c r="L50" i="2"/>
  <c r="V50" i="2"/>
  <c r="B50" i="2"/>
  <c r="K50" i="2"/>
  <c r="L46" i="2"/>
  <c r="L49" i="2"/>
  <c r="C49" i="2"/>
  <c r="V49" i="2"/>
  <c r="K49" i="2"/>
  <c r="B49" i="2"/>
  <c r="V48" i="2"/>
  <c r="L48" i="2"/>
  <c r="C48" i="2"/>
  <c r="K48" i="2"/>
  <c r="B48" i="2"/>
  <c r="K46" i="2"/>
  <c r="C46" i="2"/>
  <c r="V47" i="2"/>
  <c r="L47" i="2"/>
  <c r="V46" i="2"/>
  <c r="B47" i="2"/>
  <c r="C47" i="2"/>
  <c r="K47" i="2"/>
  <c r="B46" i="2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L41" i="2"/>
  <c r="C41" i="2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U50" i="2" l="1"/>
  <c r="U48" i="2"/>
  <c r="T49" i="2"/>
  <c r="T48" i="2"/>
  <c r="U41" i="2"/>
  <c r="U46" i="2"/>
  <c r="T51" i="2"/>
  <c r="T50" i="2"/>
  <c r="U47" i="2"/>
  <c r="U49" i="2"/>
  <c r="T46" i="2"/>
  <c r="T47" i="2"/>
  <c r="T42" i="2"/>
  <c r="T45" i="2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<sst xmlns="http://schemas.openxmlformats.org/spreadsheetml/2006/main" count="189" uniqueCount="66">
  <si>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</si>
  <si>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</si>
  <si>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</si>
  <si>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</si>
  <si>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</si>
  <si>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</si>
  <si>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</si>
  <si>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</si>
  <si>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</si>
  <si>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</si>
  <si>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</si>
  <si>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</si>
  <si>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</si>
  <si>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</si>
  <si>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</si>
  <si>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</si>
  <si>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</si>
  <si>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</si>
  <si>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</si>
  <si>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</si>
  <si>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</si>
  <si>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</si>
  <si>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</si>
  <si>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</si>
  <si>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</si>
  <si>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</si>
  <si>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</si>
  <si>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</si>
  <si>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</si>
  <si>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</si>
  <si>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</si>
  <si>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</si>
  <si>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</si>
  <si>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</si>
  <si>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</si>
  <si>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</si>
  <si>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</si>
  <si>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</si>
  <si>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</si>
  <si>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</si>
  <si>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</si>
  <si>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</si>
  <si>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</si>
  <si>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</si>
  <si>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</si>
  <si>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</si>
  <si>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</si>
  <si>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</si>
  <si>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</si>
  <si>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</si>
  <si>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</si>
  <si>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</si>
  <si>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</si>
  <si>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</si>
  <si>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</si>
  <si>
    <t>H67</t>
    <phoneticPr fontId="2" type="noConversion"/>
  </si>
  <si>
    <t>H67</t>
    <phoneticPr fontId="2" type="noConversion"/>
  </si>
  <si>
    <t>H68</t>
    <phoneticPr fontId="2" type="noConversion"/>
  </si>
  <si>
    <t>H69</t>
    <phoneticPr fontId="2" type="noConversion"/>
  </si>
  <si>
    <t>H70</t>
    <phoneticPr fontId="2" type="noConversion"/>
  </si>
  <si>
    <t>H71</t>
    <phoneticPr fontId="2" type="noConversion"/>
  </si>
  <si>
    <t>H72</t>
    <phoneticPr fontId="2" type="noConversion"/>
  </si>
  <si>
    <t>H73</t>
    <phoneticPr fontId="2" type="noConversion"/>
  </si>
  <si>
    <t>H74</t>
    <phoneticPr fontId="2" type="noConversion"/>
  </si>
  <si>
    <t>H74</t>
    <phoneticPr fontId="2" type="noConversion"/>
  </si>
  <si>
    <t>H75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</si>
</sst>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55"/>
  <sheetViews>
    <sheetView tabSelected="1" topLeftCell="F43" workbookViewId="0">
      <selection activeCell="S55" sqref="S55:AA55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20" t="s">
        <v>46</v>
      </c>
      <c r="B38" s="5">
        <f t="shared" si="193"/>
        <v>20.217933252915159</v>
      </c>
      <c r="C38" s="5">
        <f t="shared" si="194"/>
        <v>0.98150381986328916</v>
      </c>
      <c r="D38" s="4">
        <f t="shared" si="195"/>
        <v>24.869999999999997</v>
      </c>
      <c r="E38" s="13">
        <v>144.19999999999999</v>
      </c>
      <c r="F38" s="18">
        <v>12.67</v>
      </c>
      <c r="G38" s="18">
        <v>11.12</v>
      </c>
      <c r="H38" s="18">
        <v>1.08</v>
      </c>
      <c r="I38" s="19">
        <v>13</v>
      </c>
      <c r="J38" s="20" t="s">
        <v>46</v>
      </c>
      <c r="K38" s="5">
        <f t="shared" si="138"/>
        <v>40.105769230769226</v>
      </c>
      <c r="L38" s="5">
        <f t="shared" si="139"/>
        <v>1.0673076923076923</v>
      </c>
      <c r="M38" s="4">
        <f t="shared" si="140"/>
        <v>1.04</v>
      </c>
      <c r="N38" s="13">
        <v>7.02</v>
      </c>
      <c r="O38" s="18">
        <v>0.6</v>
      </c>
      <c r="P38" s="18">
        <v>0.42</v>
      </c>
      <c r="Q38" s="18">
        <v>0.02</v>
      </c>
      <c r="R38" s="19">
        <v>0.61</v>
      </c>
      <c r="S38" s="20" t="s">
        <v>46</v>
      </c>
      <c r="T38" s="5">
        <f t="shared" ref="T38" si="196">ROUND(B38/K38,3)</f>
        <v>0.504</v>
      </c>
      <c r="U38" s="5">
        <f t="shared" ref="U38" si="197">ROUND(C38/L38,3)</f>
        <v>0.92</v>
      </c>
      <c r="V38" s="4">
        <f t="shared" ref="V38" si="198">ROUND(D38/M38,3)</f>
        <v>23.913</v>
      </c>
      <c r="W38" s="13">
        <f t="shared" ref="W38" si="199">ROUND(E38/N38,3)</f>
        <v>20.541</v>
      </c>
      <c r="X38" s="18">
        <f t="shared" ref="X38" si="200">ROUND(F38/O38,3)</f>
        <v>21.117000000000001</v>
      </c>
      <c r="Y38" s="18">
        <f t="shared" ref="Y38" si="201">ROUND(G38/P38,3)</f>
        <v>26.475999999999999</v>
      </c>
      <c r="Z38" s="18">
        <f t="shared" ref="Z38" si="202">ROUND(H38/Q38,3)</f>
        <v>54</v>
      </c>
      <c r="AA38" s="19">
        <f t="shared" ref="AA38" si="203">ROUND(I38/R38,3)</f>
        <v>21.311</v>
      </c>
    </row>
    <row r="39" spans="1:28" ht="14.25" customHeight="1" x14ac:dyDescent="0.2">
      <c r="A39" s="20" t="s">
        <v>47</v>
      </c>
      <c r="B39" s="5">
        <f t="shared" ref="B39" si="204">D$2/D39</f>
        <v>20.777685950413222</v>
      </c>
      <c r="C39" s="5">
        <f t="shared" ref="C39" si="205">D38/D39</f>
        <v>1.027685950413223</v>
      </c>
      <c r="D39" s="4">
        <f t="shared" ref="D39" si="206">SUM(F39:H39)</f>
        <v>24.2</v>
      </c>
      <c r="E39" s="13">
        <v>1.55</v>
      </c>
      <c r="F39" s="9">
        <v>12.11</v>
      </c>
      <c r="G39" s="9">
        <v>11.02</v>
      </c>
      <c r="H39" s="9">
        <v>1.07</v>
      </c>
      <c r="I39" s="10">
        <v>12.65</v>
      </c>
      <c r="J39" s="20" t="s">
        <v>47</v>
      </c>
      <c r="K39" s="5">
        <f t="shared" si="138"/>
        <v>40.105769230769226</v>
      </c>
      <c r="L39" s="5">
        <f t="shared" si="139"/>
        <v>1</v>
      </c>
      <c r="M39" s="4">
        <f t="shared" si="140"/>
        <v>1.04</v>
      </c>
      <c r="N39" s="13">
        <v>0.37</v>
      </c>
      <c r="O39" s="9">
        <v>0.6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0.51800000000000002</v>
      </c>
      <c r="U39" s="5">
        <f t="shared" ref="U39" si="208">ROUND(C39/L39,3)</f>
        <v>1.028</v>
      </c>
      <c r="V39" s="4">
        <f t="shared" ref="V39" si="209">ROUND(D39/M39,3)</f>
        <v>23.268999999999998</v>
      </c>
      <c r="W39" s="13">
        <f t="shared" ref="W39" si="210">ROUND(E39/N39,3)</f>
        <v>4.1890000000000001</v>
      </c>
      <c r="X39" s="9">
        <f t="shared" ref="X39" si="211">ROUND(F39/O39,3)</f>
        <v>20.183</v>
      </c>
      <c r="Y39" s="9">
        <f t="shared" ref="Y39" si="212">ROUND(G39/P39,3)</f>
        <v>26.238</v>
      </c>
      <c r="Z39" s="9">
        <f t="shared" ref="Z39" si="213">ROUND(H39/Q39,3)</f>
        <v>53.5</v>
      </c>
      <c r="AA39" s="10">
        <f t="shared" ref="AA39" si="214">ROUND(I39/R39,3)</f>
        <v>20.738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20.64121510673235</v>
      </c>
      <c r="C40" s="5">
        <f t="shared" ref="C40:C41" si="216">D39/D40</f>
        <v>0.99343185550082114</v>
      </c>
      <c r="D40" s="4">
        <f t="shared" ref="D40:D41" si="217">SUM(F40:H40)</f>
        <v>24.359999999999996</v>
      </c>
      <c r="E40" s="13">
        <v>1.36</v>
      </c>
      <c r="F40" s="18">
        <v>12.2</v>
      </c>
      <c r="G40" s="18">
        <v>11.1</v>
      </c>
      <c r="H40" s="18">
        <v>1.06</v>
      </c>
      <c r="I40" s="19">
        <v>12.74</v>
      </c>
      <c r="J40" s="20" t="s">
        <v>48</v>
      </c>
      <c r="K40" s="5">
        <f t="shared" ref="K40" si="218">M$2/M40</f>
        <v>39.723809523809514</v>
      </c>
      <c r="L40" s="5">
        <f t="shared" ref="L40" si="219">M39/M40</f>
        <v>0.99047619047619051</v>
      </c>
      <c r="M40" s="4">
        <f t="shared" ref="M40" si="220">SUM(O40:Q40)</f>
        <v>1.05</v>
      </c>
      <c r="N40" s="13">
        <v>0.2</v>
      </c>
      <c r="O40" s="18">
        <v>0.61</v>
      </c>
      <c r="P40" s="18">
        <v>0.42</v>
      </c>
      <c r="Q40" s="18">
        <v>0.02</v>
      </c>
      <c r="R40" s="19">
        <v>0.62</v>
      </c>
      <c r="S40" s="20" t="s">
        <v>48</v>
      </c>
      <c r="T40" s="5">
        <f t="shared" ref="T40" si="221">ROUND(B40/K40,3)</f>
        <v>0.52</v>
      </c>
      <c r="U40" s="5">
        <f t="shared" ref="U40" si="222">ROUND(C40/L40,3)</f>
        <v>1.0029999999999999</v>
      </c>
      <c r="V40" s="4">
        <f t="shared" ref="V40" si="223">ROUND(D40/M40,3)</f>
        <v>23.2</v>
      </c>
      <c r="W40" s="13">
        <f t="shared" ref="W40" si="224">ROUND(E40/N40,3)</f>
        <v>6.8</v>
      </c>
      <c r="X40" s="18">
        <f t="shared" ref="X40" si="225">ROUND(F40/O40,3)</f>
        <v>20</v>
      </c>
      <c r="Y40" s="18">
        <f t="shared" ref="Y40" si="226">ROUND(G40/P40,3)</f>
        <v>26.428999999999998</v>
      </c>
      <c r="Z40" s="18">
        <f t="shared" ref="Z40" si="227">ROUND(H40/Q40,3)</f>
        <v>53</v>
      </c>
      <c r="AA40" s="19">
        <f t="shared" ref="AA40" si="228">ROUND(I40/R40,3)</f>
        <v>20.547999999999998</v>
      </c>
      <c r="AB40" s="20"/>
    </row>
    <row r="41" spans="1:28" ht="14.25" customHeight="1" x14ac:dyDescent="0.2">
      <c r="A41" s="20" t="s">
        <v>49</v>
      </c>
      <c r="B41" s="5">
        <f t="shared" si="215"/>
        <v>20.489812550937245</v>
      </c>
      <c r="C41" s="5">
        <f t="shared" si="216"/>
        <v>0.99266503667481654</v>
      </c>
      <c r="D41" s="4">
        <f t="shared" si="217"/>
        <v>24.54</v>
      </c>
      <c r="E41" s="13">
        <v>1.27</v>
      </c>
      <c r="F41" s="9">
        <v>12.24</v>
      </c>
      <c r="G41" s="9">
        <v>11.19</v>
      </c>
      <c r="H41" s="9">
        <v>1.1100000000000001</v>
      </c>
      <c r="I41" s="10">
        <v>12.92</v>
      </c>
      <c r="J41" s="20" t="s">
        <v>49</v>
      </c>
      <c r="K41" s="5">
        <f t="shared" ref="K41" si="229">M$2/M41</f>
        <v>42.131313131313128</v>
      </c>
      <c r="L41" s="5">
        <f t="shared" ref="L41" si="230">M40/M41</f>
        <v>1.0606060606060606</v>
      </c>
      <c r="M41" s="4">
        <f t="shared" ref="M41" si="231">SUM(O41:Q41)</f>
        <v>0.99</v>
      </c>
      <c r="N41" s="13">
        <v>0.14000000000000001</v>
      </c>
      <c r="O41" s="9">
        <v>0.61</v>
      </c>
      <c r="P41" s="9">
        <v>0.36</v>
      </c>
      <c r="Q41" s="9">
        <v>0.02</v>
      </c>
      <c r="R41" s="10">
        <v>0.56999999999999995</v>
      </c>
      <c r="S41" s="20" t="s">
        <v>49</v>
      </c>
      <c r="T41" s="5">
        <f t="shared" ref="T41" si="232">ROUND(B41/K41,3)</f>
        <v>0.48599999999999999</v>
      </c>
      <c r="U41" s="5">
        <f t="shared" ref="U41" si="233">ROUND(C41/L41,3)</f>
        <v>0.93600000000000005</v>
      </c>
      <c r="V41" s="4">
        <f t="shared" ref="V41" si="234">ROUND(D41/M41,3)</f>
        <v>24.788</v>
      </c>
      <c r="W41" s="13">
        <f t="shared" ref="W41" si="235">ROUND(E41/N41,3)</f>
        <v>9.0709999999999997</v>
      </c>
      <c r="X41" s="9">
        <f t="shared" ref="X41" si="236">ROUND(F41/O41,3)</f>
        <v>20.065999999999999</v>
      </c>
      <c r="Y41" s="9">
        <f t="shared" ref="Y41" si="237">ROUND(G41/P41,3)</f>
        <v>31.082999999999998</v>
      </c>
      <c r="Z41" s="9">
        <f t="shared" ref="Z41" si="238">ROUND(H41/Q41,3)</f>
        <v>55.5</v>
      </c>
      <c r="AA41" s="10">
        <f t="shared" ref="AA41" si="239">ROUND(I41/R41,3)</f>
        <v>22.667000000000002</v>
      </c>
    </row>
    <row r="42" spans="1:28" ht="14.25" customHeight="1" x14ac:dyDescent="0.2">
      <c r="A42" s="12" t="s">
        <v>50</v>
      </c>
      <c r="B42" s="5">
        <f t="shared" ref="B42" si="240">D$2/D42</f>
        <v>20.23420523138833</v>
      </c>
      <c r="C42" s="5">
        <f t="shared" ref="C42" si="241">D41/D42</f>
        <v>0.98752515090543269</v>
      </c>
      <c r="D42" s="4">
        <f t="shared" ref="D42" si="242">SUM(F42:H42)</f>
        <v>24.849999999999998</v>
      </c>
      <c r="E42" s="9">
        <v>1.28</v>
      </c>
      <c r="F42" s="13">
        <v>12.59</v>
      </c>
      <c r="G42" s="9">
        <v>11.17</v>
      </c>
      <c r="H42" s="9">
        <v>1.0900000000000001</v>
      </c>
      <c r="I42" s="10">
        <v>12.91</v>
      </c>
      <c r="J42" s="12" t="s">
        <v>50</v>
      </c>
      <c r="K42" s="5">
        <f t="shared" ref="K42" si="243">M$2/M42</f>
        <v>42.131313131313128</v>
      </c>
      <c r="L42" s="5">
        <f t="shared" ref="L42" si="244">M41/M42</f>
        <v>1</v>
      </c>
      <c r="M42" s="4">
        <f t="shared" ref="M42" si="245">SUM(O42:Q42)</f>
        <v>0.99</v>
      </c>
      <c r="N42" s="9">
        <v>0.13</v>
      </c>
      <c r="O42" s="13">
        <v>0.61</v>
      </c>
      <c r="P42" s="9">
        <v>0.36</v>
      </c>
      <c r="Q42" s="9">
        <v>0.02</v>
      </c>
      <c r="R42" s="10">
        <v>0.56999999999999995</v>
      </c>
      <c r="S42" s="12" t="s">
        <v>50</v>
      </c>
      <c r="T42" s="5">
        <f t="shared" ref="T42" si="246">ROUND(B42/K42,3)</f>
        <v>0.48</v>
      </c>
      <c r="U42" s="5">
        <f t="shared" ref="U42" si="247">ROUND(C42/L42,3)</f>
        <v>0.98799999999999999</v>
      </c>
      <c r="V42" s="4">
        <f t="shared" ref="V42" si="248">ROUND(D42/M42,3)</f>
        <v>25.100999999999999</v>
      </c>
      <c r="W42" s="18">
        <f t="shared" ref="W42" si="249">ROUND(E42/N42,3)</f>
        <v>9.8460000000000001</v>
      </c>
      <c r="X42" s="13">
        <f t="shared" ref="X42" si="250">ROUND(F42/O42,3)</f>
        <v>20.638999999999999</v>
      </c>
      <c r="Y42" s="9">
        <f t="shared" ref="Y42" si="251">ROUND(G42/P42,3)</f>
        <v>31.027999999999999</v>
      </c>
      <c r="Z42" s="9">
        <f t="shared" ref="Z42" si="252">ROUND(H42/Q42,3)</f>
        <v>54.5</v>
      </c>
      <c r="AA42" s="10">
        <f t="shared" ref="AA42" si="253">ROUND(I42/R42,3)</f>
        <v>22.649000000000001</v>
      </c>
    </row>
    <row r="43" spans="1:28" ht="14.25" customHeight="1" x14ac:dyDescent="0.2">
      <c r="A43" s="12" t="s">
        <v>51</v>
      </c>
      <c r="B43" s="5">
        <f t="shared" ref="B43" si="254">D$2/D43</f>
        <v>21.880765883376846</v>
      </c>
      <c r="C43" s="5">
        <f t="shared" ref="C43" si="255">D42/D43</f>
        <v>1.0813751087902523</v>
      </c>
      <c r="D43" s="4">
        <f t="shared" ref="D43" si="256">SUM(F43:H43)</f>
        <v>22.98</v>
      </c>
      <c r="E43" s="9">
        <v>1</v>
      </c>
      <c r="F43" s="13">
        <v>10.82</v>
      </c>
      <c r="G43" s="9">
        <v>11.09</v>
      </c>
      <c r="H43" s="9">
        <v>1.07</v>
      </c>
      <c r="I43" s="10">
        <v>12.7</v>
      </c>
      <c r="J43" s="12" t="s">
        <v>51</v>
      </c>
      <c r="K43" s="5">
        <f t="shared" ref="K43" si="257">M$2/M43</f>
        <v>42.999999999999993</v>
      </c>
      <c r="L43" s="5">
        <f t="shared" ref="L43" si="258">M42/M43</f>
        <v>1.0206185567010309</v>
      </c>
      <c r="M43" s="4">
        <f t="shared" ref="M43" si="259">SUM(O43:Q43)</f>
        <v>0.97</v>
      </c>
      <c r="N43" s="9">
        <v>0.09</v>
      </c>
      <c r="O43" s="13">
        <v>0.59</v>
      </c>
      <c r="P43" s="9">
        <v>0.36</v>
      </c>
      <c r="Q43" s="9">
        <v>0.02</v>
      </c>
      <c r="R43" s="10">
        <v>0.59</v>
      </c>
      <c r="S43" s="12" t="s">
        <v>51</v>
      </c>
      <c r="T43" s="5">
        <f t="shared" ref="T43" si="260">ROUND(B43/K43,3)</f>
        <v>0.50900000000000001</v>
      </c>
      <c r="U43" s="5">
        <f t="shared" ref="U43" si="261">ROUND(C43/L43,3)</f>
        <v>1.06</v>
      </c>
      <c r="V43" s="4">
        <f t="shared" ref="V43" si="262">ROUND(D43/M43,3)</f>
        <v>23.690999999999999</v>
      </c>
      <c r="W43" s="18">
        <f t="shared" ref="W43" si="263">ROUND(E43/N43,3)</f>
        <v>11.111000000000001</v>
      </c>
      <c r="X43" s="13">
        <f t="shared" ref="X43" si="264">ROUND(F43/O43,3)</f>
        <v>18.338999999999999</v>
      </c>
      <c r="Y43" s="9">
        <f t="shared" ref="Y43" si="265">ROUND(G43/P43,3)</f>
        <v>30.806000000000001</v>
      </c>
      <c r="Z43" s="9">
        <f t="shared" ref="Z43" si="266">ROUND(H43/Q43,3)</f>
        <v>53.5</v>
      </c>
      <c r="AA43" s="10">
        <f t="shared" ref="AA43" si="267">ROUND(I43/R43,3)</f>
        <v>21.524999999999999</v>
      </c>
    </row>
    <row r="44" spans="1:28" ht="14.25" customHeight="1" x14ac:dyDescent="0.2">
      <c r="A44" s="12" t="s">
        <v>52</v>
      </c>
      <c r="B44" s="5">
        <f t="shared" ref="B44" si="268">D$2/D44</f>
        <v>22.427297056199816</v>
      </c>
      <c r="C44" s="5">
        <f t="shared" ref="C44" si="269">D43/D44</f>
        <v>1.0249776984834968</v>
      </c>
      <c r="D44" s="4">
        <f t="shared" ref="D44" si="270">SUM(F44:H44)</f>
        <v>22.42</v>
      </c>
      <c r="E44" s="9">
        <v>0.8</v>
      </c>
      <c r="F44" s="9">
        <v>10.78</v>
      </c>
      <c r="G44" s="9">
        <v>11</v>
      </c>
      <c r="H44" s="13">
        <v>0.64</v>
      </c>
      <c r="I44" s="10">
        <v>12.71</v>
      </c>
      <c r="J44" s="12" t="s">
        <v>52</v>
      </c>
      <c r="K44" s="5">
        <f t="shared" ref="K44:K46" si="271">M$2/M44</f>
        <v>42.561224489795912</v>
      </c>
      <c r="L44" s="5">
        <f t="shared" ref="L44:L46" si="272">M43/M44</f>
        <v>0.98979591836734693</v>
      </c>
      <c r="M44" s="4">
        <f t="shared" ref="M44:M46" si="273">SUM(O44:Q44)</f>
        <v>0.98</v>
      </c>
      <c r="N44" s="9">
        <v>7.0000000000000007E-2</v>
      </c>
      <c r="O44" s="9">
        <v>0.59</v>
      </c>
      <c r="P44" s="9">
        <v>0.36</v>
      </c>
      <c r="Q44" s="13">
        <v>0.03</v>
      </c>
      <c r="R44" s="10">
        <v>0.57999999999999996</v>
      </c>
      <c r="S44" s="12" t="s">
        <v>52</v>
      </c>
      <c r="T44" s="5">
        <f t="shared" ref="T44" si="274">ROUND(B44/K44,3)</f>
        <v>0.52700000000000002</v>
      </c>
      <c r="U44" s="5">
        <f t="shared" ref="U44" si="275">ROUND(C44/L44,3)</f>
        <v>1.036</v>
      </c>
      <c r="V44" s="4">
        <f t="shared" ref="V44" si="276">ROUND(D44/M44,3)</f>
        <v>22.878</v>
      </c>
      <c r="W44" s="9">
        <f t="shared" ref="W44" si="277">ROUND(E44/N44,3)</f>
        <v>11.429</v>
      </c>
      <c r="X44" s="9">
        <f t="shared" ref="X44" si="278">ROUND(F44/O44,3)</f>
        <v>18.271000000000001</v>
      </c>
      <c r="Y44" s="9">
        <f t="shared" ref="Y44" si="279">ROUND(G44/P44,3)</f>
        <v>30.556000000000001</v>
      </c>
      <c r="Z44" s="13">
        <f t="shared" ref="Z44" si="280">ROUND(H44/Q44,3)</f>
        <v>21.332999999999998</v>
      </c>
      <c r="AA44" s="10">
        <f t="shared" ref="AA44" si="281">ROUND(I44/R44,3)</f>
        <v>21.914000000000001</v>
      </c>
    </row>
    <row r="45" spans="1:28" ht="14.25" customHeight="1" x14ac:dyDescent="0.2">
      <c r="A45" s="12" t="s">
        <v>53</v>
      </c>
      <c r="B45" s="2">
        <f t="shared" ref="B45" si="282">D$2/D45</f>
        <v>24.720747295968536</v>
      </c>
      <c r="C45" s="2">
        <f t="shared" ref="C45" si="283">D44/D45</f>
        <v>1.1022615535889875</v>
      </c>
      <c r="D45" s="6">
        <f t="shared" ref="D45" si="284">SUM(F45:H45)</f>
        <v>20.339999999999996</v>
      </c>
      <c r="E45" s="9">
        <v>0.79</v>
      </c>
      <c r="F45" s="13">
        <v>8.69</v>
      </c>
      <c r="G45" s="9">
        <v>11</v>
      </c>
      <c r="H45" s="9">
        <v>0.65</v>
      </c>
      <c r="I45" s="10">
        <v>12.58</v>
      </c>
      <c r="J45" s="12" t="s">
        <v>53</v>
      </c>
      <c r="K45" s="2">
        <f t="shared" si="271"/>
        <v>46.344444444444434</v>
      </c>
      <c r="L45" s="2">
        <f t="shared" si="272"/>
        <v>1.0888888888888888</v>
      </c>
      <c r="M45" s="6">
        <f t="shared" si="273"/>
        <v>0.9</v>
      </c>
      <c r="N45" s="9">
        <v>0.08</v>
      </c>
      <c r="O45" s="13">
        <v>0.51</v>
      </c>
      <c r="P45" s="9">
        <v>0.36</v>
      </c>
      <c r="Q45" s="9">
        <v>0.03</v>
      </c>
      <c r="R45" s="10">
        <v>0.57999999999999996</v>
      </c>
      <c r="S45" s="12" t="s">
        <v>53</v>
      </c>
      <c r="T45" s="2">
        <f t="shared" ref="T45" si="285">ROUND(B45/K45,3)</f>
        <v>0.53300000000000003</v>
      </c>
      <c r="U45" s="2">
        <f t="shared" ref="U45" si="286">ROUND(C45/L45,3)</f>
        <v>1.012</v>
      </c>
      <c r="V45" s="6">
        <f t="shared" ref="V45" si="287">ROUND(D45/M45,3)</f>
        <v>22.6</v>
      </c>
      <c r="W45" s="9">
        <f t="shared" ref="W45" si="288">ROUND(E45/N45,3)</f>
        <v>9.875</v>
      </c>
      <c r="X45" s="13">
        <f t="shared" ref="X45" si="289">ROUND(F45/O45,3)</f>
        <v>17.039000000000001</v>
      </c>
      <c r="Y45" s="9">
        <f t="shared" ref="Y45" si="290">ROUND(G45/P45,3)</f>
        <v>30.556000000000001</v>
      </c>
      <c r="Z45" s="9">
        <f t="shared" ref="Z45" si="291">ROUND(H45/Q45,3)</f>
        <v>21.667000000000002</v>
      </c>
      <c r="AA45" s="10">
        <f t="shared" ref="AA45" si="292">ROUND(I45/R45,3)</f>
        <v>21.69</v>
      </c>
    </row>
    <row r="46" spans="1:28" ht="14.25" customHeight="1" x14ac:dyDescent="0.2">
      <c r="A46" s="12" t="s">
        <v>54</v>
      </c>
      <c r="B46" s="5">
        <f t="shared" ref="B46" si="293">D$2/D46</f>
        <v>24.611845325501712</v>
      </c>
      <c r="C46" s="5">
        <f t="shared" ref="C46" si="294">D45/D46</f>
        <v>0.99559471365638752</v>
      </c>
      <c r="D46" s="4">
        <f t="shared" ref="D46" si="295">SUM(F46:H46)</f>
        <v>20.43</v>
      </c>
      <c r="E46" s="9">
        <v>0.81</v>
      </c>
      <c r="F46" s="9">
        <v>8.76</v>
      </c>
      <c r="G46" s="9">
        <v>11.03</v>
      </c>
      <c r="H46" s="9">
        <v>0.64</v>
      </c>
      <c r="I46" s="14">
        <v>9.73</v>
      </c>
      <c r="J46" s="12" t="s">
        <v>54</v>
      </c>
      <c r="K46" s="5">
        <f t="shared" si="271"/>
        <v>46.344444444444434</v>
      </c>
      <c r="L46" s="5">
        <f t="shared" si="272"/>
        <v>1</v>
      </c>
      <c r="M46" s="4">
        <f t="shared" si="273"/>
        <v>0.9</v>
      </c>
      <c r="N46" s="9">
        <v>0.09</v>
      </c>
      <c r="O46" s="9">
        <v>0.51</v>
      </c>
      <c r="P46" s="9">
        <v>0.36</v>
      </c>
      <c r="Q46" s="9">
        <v>0.03</v>
      </c>
      <c r="R46" s="14">
        <v>0.34</v>
      </c>
      <c r="S46" s="12" t="s">
        <v>54</v>
      </c>
      <c r="T46" s="5">
        <f t="shared" ref="T46" si="296">ROUND(B46/K46,3)</f>
        <v>0.53100000000000003</v>
      </c>
      <c r="U46" s="5">
        <f t="shared" ref="U46" si="297">ROUND(C46/L46,3)</f>
        <v>0.996</v>
      </c>
      <c r="V46" s="4">
        <f t="shared" ref="V46" si="298">ROUND(D46/M46,3)</f>
        <v>22.7</v>
      </c>
      <c r="W46" s="9">
        <f t="shared" ref="W46" si="299">ROUND(E46/N46,3)</f>
        <v>9</v>
      </c>
      <c r="X46" s="9">
        <f t="shared" ref="X46" si="300">ROUND(F46/O46,3)</f>
        <v>17.175999999999998</v>
      </c>
      <c r="Y46" s="9">
        <f t="shared" ref="Y46" si="301">ROUND(G46/P46,3)</f>
        <v>30.638999999999999</v>
      </c>
      <c r="Z46" s="9">
        <f t="shared" ref="Z46" si="302">ROUND(H46/Q46,3)</f>
        <v>21.332999999999998</v>
      </c>
      <c r="AA46" s="14">
        <f t="shared" ref="AA46" si="303">ROUND(I46/R46,3)</f>
        <v>28.617999999999999</v>
      </c>
    </row>
    <row r="47" spans="1:28" ht="14.25" customHeight="1" x14ac:dyDescent="0.2">
      <c r="A47" s="12" t="s">
        <v>55</v>
      </c>
      <c r="B47" s="5">
        <f t="shared" ref="B47" si="304">D$2/D47</f>
        <v>25.065802592223324</v>
      </c>
      <c r="C47" s="5">
        <f t="shared" ref="C47" si="305">D46/D47</f>
        <v>1.0184446660019939</v>
      </c>
      <c r="D47" s="4">
        <f t="shared" ref="D47" si="306">SUM(F47:H47)</f>
        <v>20.060000000000002</v>
      </c>
      <c r="E47" s="9">
        <v>0.78</v>
      </c>
      <c r="F47" s="9">
        <v>8.6999999999999993</v>
      </c>
      <c r="G47" s="13">
        <v>10.65</v>
      </c>
      <c r="H47" s="9">
        <v>0.71</v>
      </c>
      <c r="I47" s="14">
        <v>9.27</v>
      </c>
      <c r="J47" s="12" t="s">
        <v>56</v>
      </c>
      <c r="K47" s="5">
        <f t="shared" ref="K47" si="307">M$2/M47</f>
        <v>46.865168539325836</v>
      </c>
      <c r="L47" s="5">
        <f t="shared" ref="L47" si="308">M46/M47</f>
        <v>1.0112359550561798</v>
      </c>
      <c r="M47" s="4">
        <f t="shared" ref="M47" si="309">SUM(O47:Q47)</f>
        <v>0.89</v>
      </c>
      <c r="N47" s="9">
        <v>0.08</v>
      </c>
      <c r="O47" s="9">
        <v>0.5</v>
      </c>
      <c r="P47" s="13">
        <v>0.36</v>
      </c>
      <c r="Q47" s="9">
        <v>0.03</v>
      </c>
      <c r="R47" s="14">
        <v>0.33</v>
      </c>
      <c r="S47" s="12" t="s">
        <v>56</v>
      </c>
      <c r="T47" s="5">
        <f t="shared" ref="T47" si="310">ROUND(B47/K47,3)</f>
        <v>0.53500000000000003</v>
      </c>
      <c r="U47" s="5">
        <f t="shared" ref="U47" si="311">ROUND(C47/L47,3)</f>
        <v>1.0069999999999999</v>
      </c>
      <c r="V47" s="4">
        <f t="shared" ref="V47" si="312">ROUND(D47/M47,3)</f>
        <v>22.539000000000001</v>
      </c>
      <c r="W47" s="9">
        <f t="shared" ref="W47" si="313">ROUND(E47/N47,3)</f>
        <v>9.75</v>
      </c>
      <c r="X47" s="9">
        <f t="shared" ref="X47" si="314">ROUND(F47/O47,3)</f>
        <v>17.399999999999999</v>
      </c>
      <c r="Y47" s="13">
        <f t="shared" ref="Y47" si="315">ROUND(G47/P47,3)</f>
        <v>29.582999999999998</v>
      </c>
      <c r="Z47" s="9">
        <f t="shared" ref="Z47" si="316">ROUND(H47/Q47,3)</f>
        <v>23.667000000000002</v>
      </c>
      <c r="AA47" s="14">
        <f t="shared" ref="AA47" si="317">ROUND(I47/R47,3)</f>
        <v>28.091000000000001</v>
      </c>
    </row>
    <row r="48" spans="1:28" ht="14.25" customHeight="1" x14ac:dyDescent="0.2">
      <c r="A48" s="12" t="s">
        <v>57</v>
      </c>
      <c r="B48" s="2">
        <f t="shared" ref="B48" si="318">D$2/D48</f>
        <v>27.135456017269295</v>
      </c>
      <c r="C48" s="2">
        <f t="shared" ref="C48" si="319">D47/D48</f>
        <v>1.0825688073394497</v>
      </c>
      <c r="D48" s="6">
        <f t="shared" ref="D48" si="320">SUM(F48:H48)</f>
        <v>18.529999999999998</v>
      </c>
      <c r="E48" s="9">
        <v>0.79</v>
      </c>
      <c r="F48" s="18">
        <v>8.6</v>
      </c>
      <c r="G48" s="13">
        <v>9.2799999999999994</v>
      </c>
      <c r="H48" s="9">
        <v>0.65</v>
      </c>
      <c r="I48" s="14">
        <v>7</v>
      </c>
      <c r="J48" s="12" t="s">
        <v>57</v>
      </c>
      <c r="K48" s="2">
        <f t="shared" ref="K48" si="321">M$2/M48</f>
        <v>53.474358974358964</v>
      </c>
      <c r="L48" s="2">
        <f t="shared" ref="L48" si="322">M47/M48</f>
        <v>1.141025641025641</v>
      </c>
      <c r="M48" s="6">
        <f t="shared" ref="M48" si="323">SUM(O48:Q48)</f>
        <v>0.78</v>
      </c>
      <c r="N48" s="9">
        <v>0.08</v>
      </c>
      <c r="O48" s="9">
        <v>0.5</v>
      </c>
      <c r="P48" s="13">
        <v>0.25</v>
      </c>
      <c r="Q48" s="9">
        <v>0.03</v>
      </c>
      <c r="R48" s="14">
        <v>0.25</v>
      </c>
      <c r="S48" s="12" t="s">
        <v>57</v>
      </c>
      <c r="T48" s="2">
        <f t="shared" ref="T48" si="324">ROUND(B48/K48,3)</f>
        <v>0.50700000000000001</v>
      </c>
      <c r="U48" s="2">
        <f t="shared" ref="U48" si="325">ROUND(C48/L48,3)</f>
        <v>0.94899999999999995</v>
      </c>
      <c r="V48" s="6">
        <f t="shared" ref="V48" si="326">ROUND(D48/M48,3)</f>
        <v>23.756</v>
      </c>
      <c r="W48" s="9">
        <f t="shared" ref="W48" si="327">ROUND(E48/N48,3)</f>
        <v>9.875</v>
      </c>
      <c r="X48" s="9">
        <f t="shared" ref="X48" si="328">ROUND(F48/O48,3)</f>
        <v>17.2</v>
      </c>
      <c r="Y48" s="13">
        <f t="shared" ref="Y48" si="329">ROUND(G48/P48,3)</f>
        <v>37.119999999999997</v>
      </c>
      <c r="Z48" s="9">
        <f t="shared" ref="Z48" si="330">ROUND(H48/Q48,3)</f>
        <v>21.667000000000002</v>
      </c>
      <c r="AA48" s="14">
        <f t="shared" ref="AA48" si="331">ROUND(I48/R48,3)</f>
        <v>28</v>
      </c>
    </row>
    <row r="49" spans="1:27" ht="14.25" customHeight="1" x14ac:dyDescent="0.2">
      <c r="A49" s="12" t="s">
        <v>58</v>
      </c>
      <c r="B49" s="5">
        <f t="shared" ref="B49" si="332">D$2/D49</f>
        <v>27.446506550218338</v>
      </c>
      <c r="C49" s="5">
        <f t="shared" ref="C49" si="333">D48/D49</f>
        <v>1.0114628820960698</v>
      </c>
      <c r="D49" s="4">
        <f t="shared" ref="D49" si="334">SUM(F49:H49)</f>
        <v>18.32</v>
      </c>
      <c r="E49" s="13">
        <v>0.62</v>
      </c>
      <c r="F49" s="9">
        <v>8.6</v>
      </c>
      <c r="G49" s="9">
        <v>9.06</v>
      </c>
      <c r="H49" s="9">
        <v>0.66</v>
      </c>
      <c r="I49" s="14">
        <v>7</v>
      </c>
      <c r="J49" s="12" t="s">
        <v>58</v>
      </c>
      <c r="K49" s="5">
        <f t="shared" ref="K49" si="335">M$2/M49</f>
        <v>54.168831168831161</v>
      </c>
      <c r="L49" s="5">
        <f t="shared" ref="L49" si="336">M48/M49</f>
        <v>1.0129870129870131</v>
      </c>
      <c r="M49" s="4">
        <f t="shared" ref="M49" si="337">SUM(O49:Q49)</f>
        <v>0.77</v>
      </c>
      <c r="N49" s="13">
        <v>0.08</v>
      </c>
      <c r="O49" s="9">
        <v>0.5</v>
      </c>
      <c r="P49" s="9">
        <v>0.24</v>
      </c>
      <c r="Q49" s="9">
        <v>0.03</v>
      </c>
      <c r="R49" s="14">
        <v>0.24</v>
      </c>
      <c r="S49" s="12" t="s">
        <v>58</v>
      </c>
      <c r="T49" s="5">
        <f t="shared" ref="T49" si="338">ROUND(B49/K49,3)</f>
        <v>0.50700000000000001</v>
      </c>
      <c r="U49" s="5">
        <f t="shared" ref="U49" si="339">ROUND(C49/L49,3)</f>
        <v>0.998</v>
      </c>
      <c r="V49" s="4">
        <f t="shared" ref="V49" si="340">ROUND(D49/M49,3)</f>
        <v>23.792000000000002</v>
      </c>
      <c r="W49" s="13">
        <f t="shared" ref="W49" si="341">ROUND(E49/N49,3)</f>
        <v>7.75</v>
      </c>
      <c r="X49" s="18">
        <f t="shared" ref="X49" si="342">ROUND(F49/O49,3)</f>
        <v>17.2</v>
      </c>
      <c r="Y49" s="18">
        <f t="shared" ref="Y49" si="343">ROUND(G49/P49,3)</f>
        <v>37.75</v>
      </c>
      <c r="Z49" s="18">
        <f t="shared" ref="Z49" si="344">ROUND(H49/Q49,3)</f>
        <v>22</v>
      </c>
      <c r="AA49" s="14">
        <f t="shared" ref="AA49" si="345">ROUND(I49/R49,3)</f>
        <v>29.167000000000002</v>
      </c>
    </row>
    <row r="50" spans="1:27" ht="14.25" customHeight="1" x14ac:dyDescent="0.2">
      <c r="A50" s="12" t="s">
        <v>59</v>
      </c>
      <c r="B50" s="2">
        <f t="shared" ref="B50" si="346">D$2/D50</f>
        <v>28.765446224256287</v>
      </c>
      <c r="C50" s="2">
        <f t="shared" ref="C50" si="347">D49/D50</f>
        <v>1.0480549199084668</v>
      </c>
      <c r="D50" s="6">
        <f t="shared" ref="D50" si="348">SUM(F50:H50)</f>
        <v>17.48</v>
      </c>
      <c r="E50" s="9">
        <v>0.64</v>
      </c>
      <c r="F50" s="13">
        <v>7.76</v>
      </c>
      <c r="G50" s="9">
        <v>9.08</v>
      </c>
      <c r="H50" s="9">
        <v>0.64</v>
      </c>
      <c r="I50" s="10">
        <v>6.95</v>
      </c>
      <c r="J50" s="12" t="s">
        <v>59</v>
      </c>
      <c r="K50" s="2">
        <f t="shared" ref="K50" si="349">M$2/M50</f>
        <v>56.364864864864856</v>
      </c>
      <c r="L50" s="2">
        <f t="shared" ref="L50" si="350">M49/M50</f>
        <v>1.0405405405405406</v>
      </c>
      <c r="M50" s="6">
        <f t="shared" ref="M50" si="351">SUM(O50:Q50)</f>
        <v>0.74</v>
      </c>
      <c r="N50" s="9">
        <v>7.0000000000000007E-2</v>
      </c>
      <c r="O50" s="13">
        <v>0.47</v>
      </c>
      <c r="P50" s="9">
        <v>0.24</v>
      </c>
      <c r="Q50" s="9">
        <v>0.03</v>
      </c>
      <c r="R50" s="10">
        <v>0.24</v>
      </c>
      <c r="S50" s="12" t="s">
        <v>59</v>
      </c>
      <c r="T50" s="2">
        <f t="shared" ref="T50" si="352">ROUND(B50/K50,3)</f>
        <v>0.51</v>
      </c>
      <c r="U50" s="2">
        <f t="shared" ref="U50" si="353">ROUND(C50/L50,3)</f>
        <v>1.0069999999999999</v>
      </c>
      <c r="V50" s="6">
        <f t="shared" ref="V50" si="354">ROUND(D50/M50,3)</f>
        <v>23.622</v>
      </c>
      <c r="W50" s="18">
        <f t="shared" ref="W50" si="355">ROUND(E50/N50,3)</f>
        <v>9.1430000000000007</v>
      </c>
      <c r="X50" s="13">
        <f t="shared" ref="X50" si="356">ROUND(F50/O50,3)</f>
        <v>16.510999999999999</v>
      </c>
      <c r="Y50" s="18">
        <f t="shared" ref="Y50" si="357">ROUND(G50/P50,3)</f>
        <v>37.832999999999998</v>
      </c>
      <c r="Z50" s="18">
        <f t="shared" ref="Z50" si="358">ROUND(H50/Q50,3)</f>
        <v>21.332999999999998</v>
      </c>
      <c r="AA50" s="19">
        <f t="shared" ref="AA50" si="359">ROUND(I50/R50,3)</f>
        <v>28.957999999999998</v>
      </c>
    </row>
    <row r="51" spans="1:27" ht="14.25" customHeight="1" x14ac:dyDescent="0.2">
      <c r="A51" s="12" t="s">
        <v>60</v>
      </c>
      <c r="B51" s="2">
        <f t="shared" ref="B51" si="360">D$2/D51</f>
        <v>33.189438943894388</v>
      </c>
      <c r="C51" s="2">
        <f t="shared" ref="C51" si="361">D50/D51</f>
        <v>1.1537953795379539</v>
      </c>
      <c r="D51" s="6">
        <f t="shared" ref="D51" si="362">SUM(F51:H51)</f>
        <v>15.15</v>
      </c>
      <c r="E51" s="9">
        <v>0.69</v>
      </c>
      <c r="F51" s="9">
        <v>7.6</v>
      </c>
      <c r="G51" s="13">
        <v>6.9</v>
      </c>
      <c r="H51" s="9">
        <v>0.65</v>
      </c>
      <c r="I51" s="14">
        <v>4.8899999999999997</v>
      </c>
      <c r="J51" s="12" t="s">
        <v>60</v>
      </c>
      <c r="K51" s="2">
        <f t="shared" ref="K51:K53" si="363">M$2/M51</f>
        <v>63.196969696969681</v>
      </c>
      <c r="L51" s="2">
        <f t="shared" ref="L51:L53" si="364">M50/M51</f>
        <v>1.1212121212121211</v>
      </c>
      <c r="M51" s="6">
        <f t="shared" ref="M51:M53" si="365">SUM(O51:Q51)</f>
        <v>0.66</v>
      </c>
      <c r="N51" s="9">
        <v>7.0000000000000007E-2</v>
      </c>
      <c r="O51" s="9">
        <v>0.47</v>
      </c>
      <c r="P51" s="13">
        <v>0.16</v>
      </c>
      <c r="Q51" s="9">
        <v>0.03</v>
      </c>
      <c r="R51" s="14">
        <v>0.18</v>
      </c>
      <c r="S51" s="12" t="s">
        <v>60</v>
      </c>
      <c r="T51" s="2">
        <f t="shared" ref="T51" si="366">ROUND(B51/K51,3)</f>
        <v>0.52500000000000002</v>
      </c>
      <c r="U51" s="2">
        <f t="shared" ref="U51" si="367">ROUND(C51/L51,3)</f>
        <v>1.0289999999999999</v>
      </c>
      <c r="V51" s="6">
        <f t="shared" ref="V51" si="368">ROUND(D51/M51,3)</f>
        <v>22.954999999999998</v>
      </c>
      <c r="W51" s="9">
        <f t="shared" ref="W51" si="369">ROUND(E51/N51,3)</f>
        <v>9.8569999999999993</v>
      </c>
      <c r="X51" s="9">
        <f t="shared" ref="X51" si="370">ROUND(F51/O51,3)</f>
        <v>16.170000000000002</v>
      </c>
      <c r="Y51" s="13">
        <f t="shared" ref="Y51" si="371">ROUND(G51/P51,3)</f>
        <v>43.125</v>
      </c>
      <c r="Z51" s="9">
        <f t="shared" ref="Z51" si="372">ROUND(H51/Q51,3)</f>
        <v>21.667000000000002</v>
      </c>
      <c r="AA51" s="14">
        <f t="shared" ref="AA51" si="373">ROUND(I51/R51,3)</f>
        <v>27.167000000000002</v>
      </c>
    </row>
    <row r="52" spans="1:27" ht="14.25" customHeight="1" x14ac:dyDescent="0.2">
      <c r="A52" s="12" t="s">
        <v>61</v>
      </c>
      <c r="B52" s="5">
        <f t="shared" ref="B52:B53" si="374">D$2/D52</f>
        <v>32.79973907371167</v>
      </c>
      <c r="C52" s="5">
        <f t="shared" ref="C52:C53" si="375">D51/D52</f>
        <v>0.98825831702544031</v>
      </c>
      <c r="D52" s="4">
        <f t="shared" ref="D52:D53" si="376">SUM(F52:H52)</f>
        <v>15.33</v>
      </c>
      <c r="E52" s="9">
        <v>0.66</v>
      </c>
      <c r="F52" s="9">
        <v>7.7</v>
      </c>
      <c r="G52" s="9">
        <v>6.97</v>
      </c>
      <c r="H52" s="9">
        <v>0.66</v>
      </c>
      <c r="I52" s="14">
        <v>4.9000000000000004</v>
      </c>
      <c r="J52" s="12" t="s">
        <v>61</v>
      </c>
      <c r="K52" s="5">
        <f t="shared" si="363"/>
        <v>62.253731343283569</v>
      </c>
      <c r="L52" s="5">
        <f t="shared" si="364"/>
        <v>0.9850746268656716</v>
      </c>
      <c r="M52" s="4">
        <f t="shared" si="365"/>
        <v>0.67</v>
      </c>
      <c r="N52" s="9">
        <v>7.0000000000000007E-2</v>
      </c>
      <c r="O52" s="9">
        <v>0.47</v>
      </c>
      <c r="P52" s="9">
        <v>0.17</v>
      </c>
      <c r="Q52" s="9">
        <v>0.03</v>
      </c>
      <c r="R52" s="14">
        <v>0.17</v>
      </c>
      <c r="S52" s="12" t="s">
        <v>61</v>
      </c>
      <c r="T52" s="5">
        <f t="shared" ref="T52:T53" si="377">ROUND(B52/K52,3)</f>
        <v>0.52700000000000002</v>
      </c>
      <c r="U52" s="5">
        <f t="shared" ref="U52:U53" si="378">ROUND(C52/L52,3)</f>
        <v>1.0029999999999999</v>
      </c>
      <c r="V52" s="4">
        <f t="shared" ref="V52:V53" si="379">ROUND(D52/M52,3)</f>
        <v>22.881</v>
      </c>
      <c r="W52" s="18">
        <f t="shared" ref="W52:W53" si="380">ROUND(E52/N52,3)</f>
        <v>9.4290000000000003</v>
      </c>
      <c r="X52" s="18">
        <f t="shared" ref="X52:X53" si="381">ROUND(F52/O52,3)</f>
        <v>16.382999999999999</v>
      </c>
      <c r="Y52" s="18">
        <f t="shared" ref="Y52:Y53" si="382">ROUND(G52/P52,3)</f>
        <v>41</v>
      </c>
      <c r="Z52" s="18">
        <f t="shared" ref="Z52:Z53" si="383">ROUND(H52/Q52,3)</f>
        <v>22</v>
      </c>
      <c r="AA52" s="14">
        <f t="shared" ref="AA52:AA53" si="384">ROUND(I52/R52,3)</f>
        <v>28.824000000000002</v>
      </c>
    </row>
    <row r="53" spans="1:27" ht="14.25" customHeight="1" x14ac:dyDescent="0.2">
      <c r="A53" s="12" t="s">
        <v>62</v>
      </c>
      <c r="B53" s="5">
        <f t="shared" si="374"/>
        <v>33.255291005290999</v>
      </c>
      <c r="C53" s="5">
        <f t="shared" si="375"/>
        <v>1.0138888888888888</v>
      </c>
      <c r="D53" s="4">
        <f t="shared" si="376"/>
        <v>15.120000000000001</v>
      </c>
      <c r="E53" s="9">
        <v>0.62</v>
      </c>
      <c r="F53" s="9">
        <v>7.77</v>
      </c>
      <c r="G53" s="13">
        <v>6.69</v>
      </c>
      <c r="H53" s="9">
        <v>0.66</v>
      </c>
      <c r="I53" s="14">
        <v>4.91</v>
      </c>
      <c r="J53" s="12" t="s">
        <v>62</v>
      </c>
      <c r="K53" s="5">
        <f t="shared" si="363"/>
        <v>63.196969696969681</v>
      </c>
      <c r="L53" s="5">
        <f t="shared" si="364"/>
        <v>1.0151515151515151</v>
      </c>
      <c r="M53" s="4">
        <f t="shared" si="365"/>
        <v>0.66</v>
      </c>
      <c r="N53" s="9">
        <v>7.0000000000000007E-2</v>
      </c>
      <c r="O53" s="9">
        <v>0.48</v>
      </c>
      <c r="P53" s="13">
        <v>0.15</v>
      </c>
      <c r="Q53" s="9">
        <v>0.03</v>
      </c>
      <c r="R53" s="14">
        <v>0.16</v>
      </c>
      <c r="S53" s="12" t="s">
        <v>62</v>
      </c>
      <c r="T53" s="5">
        <f t="shared" si="377"/>
        <v>0.52600000000000002</v>
      </c>
      <c r="U53" s="5">
        <f t="shared" si="378"/>
        <v>0.999</v>
      </c>
      <c r="V53" s="4">
        <f t="shared" si="379"/>
        <v>22.908999999999999</v>
      </c>
      <c r="W53" s="18">
        <f t="shared" si="380"/>
        <v>8.8569999999999993</v>
      </c>
      <c r="X53" s="18">
        <f t="shared" si="381"/>
        <v>16.187999999999999</v>
      </c>
      <c r="Y53" s="13">
        <f t="shared" si="382"/>
        <v>44.6</v>
      </c>
      <c r="Z53" s="18">
        <f t="shared" si="383"/>
        <v>22</v>
      </c>
      <c r="AA53" s="14">
        <f t="shared" si="384"/>
        <v>30.687999999999999</v>
      </c>
    </row>
    <row r="54" spans="1:27" ht="14.25" customHeight="1" x14ac:dyDescent="0.2">
      <c r="A54" s="12" t="s">
        <v>63</v>
      </c>
      <c r="B54" s="5">
        <f t="shared" ref="B54" si="385">D$2/D54</f>
        <v>33.499000666222507</v>
      </c>
      <c r="C54" s="5">
        <f t="shared" ref="C54" si="386">D53/D54</f>
        <v>1.0073284477015323</v>
      </c>
      <c r="D54" s="4">
        <f t="shared" ref="D54" si="387">SUM(F54:H54)</f>
        <v>15.010000000000002</v>
      </c>
      <c r="E54" s="13">
        <v>0.41</v>
      </c>
      <c r="F54" s="9">
        <v>7.59</v>
      </c>
      <c r="G54" s="9">
        <v>6.78</v>
      </c>
      <c r="H54" s="9">
        <v>0.64</v>
      </c>
      <c r="I54" s="10">
        <v>4.7</v>
      </c>
      <c r="J54" s="12" t="s">
        <v>64</v>
      </c>
      <c r="K54" s="5">
        <f t="shared" ref="K54" si="388">M$2/M54</f>
        <v>64.169230769230751</v>
      </c>
      <c r="L54" s="5">
        <f t="shared" ref="L54" si="389">M53/M54</f>
        <v>1.0153846153846153</v>
      </c>
      <c r="M54" s="4">
        <f t="shared" ref="M54" si="390">SUM(O54:Q54)</f>
        <v>0.65</v>
      </c>
      <c r="N54" s="13">
        <v>0.06</v>
      </c>
      <c r="O54" s="9">
        <v>0.47</v>
      </c>
      <c r="P54" s="9">
        <v>0.15</v>
      </c>
      <c r="Q54" s="9">
        <v>0.03</v>
      </c>
      <c r="R54" s="10">
        <v>0.15</v>
      </c>
      <c r="S54" s="12" t="s">
        <v>63</v>
      </c>
      <c r="T54" s="5">
        <f t="shared" ref="T54" si="391">ROUND(B54/K54,3)</f>
        <v>0.52200000000000002</v>
      </c>
      <c r="U54" s="5">
        <f t="shared" ref="U54" si="392">ROUND(C54/L54,3)</f>
        <v>0.99199999999999999</v>
      </c>
      <c r="V54" s="4">
        <f t="shared" ref="V54" si="393">ROUND(D54/M54,3)</f>
        <v>23.091999999999999</v>
      </c>
      <c r="W54" s="13">
        <f t="shared" ref="W54" si="394">ROUND(E54/N54,3)</f>
        <v>6.8330000000000002</v>
      </c>
      <c r="X54" s="18">
        <f t="shared" ref="X54" si="395">ROUND(F54/O54,3)</f>
        <v>16.149000000000001</v>
      </c>
      <c r="Y54" s="18">
        <f t="shared" ref="Y54" si="396">ROUND(G54/P54,3)</f>
        <v>45.2</v>
      </c>
      <c r="Z54" s="18">
        <f t="shared" ref="Z54" si="397">ROUND(H54/Q54,3)</f>
        <v>21.332999999999998</v>
      </c>
      <c r="AA54" s="19">
        <f t="shared" ref="AA54" si="398">ROUND(I54/R54,3)</f>
        <v>31.332999999999998</v>
      </c>
    </row>
    <row r="55" spans="1:27" ht="14.25" customHeight="1" x14ac:dyDescent="0.2">
      <c r="A55" s="12" t="s">
        <v>65</v>
      </c>
      <c r="B55" s="2">
        <f t="shared" ref="B55" si="399">D$2/D55</f>
        <v>46.730483271375462</v>
      </c>
      <c r="C55" s="2">
        <f t="shared" ref="C55" si="400">D54/D55</f>
        <v>1.3949814126394053</v>
      </c>
      <c r="D55" s="6">
        <f t="shared" ref="D55" si="401">SUM(F55:H55)</f>
        <v>10.76</v>
      </c>
      <c r="E55" s="9">
        <v>0.44</v>
      </c>
      <c r="F55" s="9">
        <v>7.22</v>
      </c>
      <c r="G55" s="9">
        <v>3.3</v>
      </c>
      <c r="H55" s="13">
        <v>0.24</v>
      </c>
      <c r="I55" s="14">
        <v>2.73</v>
      </c>
      <c r="J55" s="12" t="s">
        <v>65</v>
      </c>
      <c r="K55" s="2">
        <f t="shared" ref="K55" si="402">M$2/M55</f>
        <v>64.169230769230751</v>
      </c>
      <c r="L55" s="2">
        <f t="shared" ref="L55" si="403">M54/M55</f>
        <v>1</v>
      </c>
      <c r="M55" s="6">
        <f t="shared" ref="M55" si="404">SUM(O55:Q55)</f>
        <v>0.65</v>
      </c>
      <c r="N55" s="9">
        <v>7.0000000000000007E-2</v>
      </c>
      <c r="O55" s="9">
        <v>0.47</v>
      </c>
      <c r="P55" s="9">
        <v>0.15</v>
      </c>
      <c r="Q55" s="13">
        <v>0.03</v>
      </c>
      <c r="R55" s="14">
        <v>0.15</v>
      </c>
      <c r="S55" s="12" t="s">
        <v>65</v>
      </c>
      <c r="T55" s="2">
        <f t="shared" ref="T55" si="405">ROUND(B55/K55,3)</f>
        <v>0.72799999999999998</v>
      </c>
      <c r="U55" s="2">
        <f t="shared" ref="U55" si="406">ROUND(C55/L55,3)</f>
        <v>1.395</v>
      </c>
      <c r="V55" s="6">
        <f t="shared" ref="V55" si="407">ROUND(D55/M55,3)</f>
        <v>16.553999999999998</v>
      </c>
      <c r="W55" s="9">
        <f t="shared" ref="W55" si="408">ROUND(E55/N55,3)</f>
        <v>6.2859999999999996</v>
      </c>
      <c r="X55" s="9">
        <f t="shared" ref="X55" si="409">ROUND(F55/O55,3)</f>
        <v>15.362</v>
      </c>
      <c r="Y55" s="9">
        <f t="shared" ref="Y55" si="410">ROUND(G55/P55,3)</f>
        <v>22</v>
      </c>
      <c r="Z55" s="13">
        <f t="shared" ref="Z55" si="411">ROUND(H55/Q55,3)</f>
        <v>8</v>
      </c>
      <c r="AA55" s="14">
        <f t="shared" ref="AA55" si="412">ROUND(I55/R55,3)</f>
        <v>18.2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2026-09-10T04:34:33Z</dcterms:modified>
</cp:coreProperties>
</file>