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F94EC0B6-C57E-4181-88A5-9D417A6C50AE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" l="1"/>
  <c r="V2" i="2"/>
  <c r="W2" i="2"/>
  <c r="X2" i="2"/>
  <c r="N3" i="2"/>
  <c r="M3" i="2" s="1"/>
  <c r="W3" i="2" s="1"/>
  <c r="X3" i="2"/>
  <c r="N4" i="2"/>
  <c r="M4" i="2" s="1"/>
  <c r="W4" i="2" s="1"/>
  <c r="X4" i="2"/>
  <c r="N5" i="2"/>
  <c r="M5" i="2" s="1"/>
  <c r="W5" i="2" s="1"/>
  <c r="N6" i="2"/>
  <c r="L6" i="2" s="1"/>
  <c r="V6" i="2" s="1"/>
  <c r="X6" i="2"/>
  <c r="N7" i="2"/>
  <c r="L7" i="2" s="1"/>
  <c r="V7" i="2" s="1"/>
  <c r="X7" i="2"/>
  <c r="N8" i="2"/>
  <c r="M9" i="2" s="1"/>
  <c r="W9" i="2" s="1"/>
  <c r="X8" i="2"/>
  <c r="N9" i="2"/>
  <c r="L9" i="2" s="1"/>
  <c r="V9" i="2" s="1"/>
  <c r="X9" i="2"/>
  <c r="N10" i="2"/>
  <c r="L10" i="2" s="1"/>
  <c r="V10" i="2" s="1"/>
  <c r="X10" i="2"/>
  <c r="N11" i="2"/>
  <c r="L11" i="2" s="1"/>
  <c r="V11" i="2" s="1"/>
  <c r="X11" i="2"/>
  <c r="L12" i="2"/>
  <c r="M12" i="2"/>
  <c r="N12" i="2"/>
  <c r="N13" i="2"/>
  <c r="L13" i="2" s="1"/>
  <c r="N14" i="2"/>
  <c r="M14" i="2" s="1"/>
  <c r="N15" i="2"/>
  <c r="M15" i="2" s="1"/>
  <c r="Y15" i="2"/>
  <c r="Z15" i="2"/>
  <c r="AA15" i="2"/>
  <c r="AB15" i="2"/>
  <c r="AC15" i="2"/>
  <c r="AD15" i="2"/>
  <c r="D15" i="2"/>
  <c r="D12" i="2"/>
  <c r="D13" i="2"/>
  <c r="D14" i="2"/>
  <c r="C15" i="2" s="1"/>
  <c r="Y3" i="2"/>
  <c r="Y4" i="2"/>
  <c r="Y5" i="2"/>
  <c r="Y6" i="2"/>
  <c r="Y7" i="2"/>
  <c r="Y8" i="2"/>
  <c r="Y9" i="2"/>
  <c r="Y10" i="2"/>
  <c r="Y11" i="2"/>
  <c r="Y12" i="2"/>
  <c r="Y13" i="2"/>
  <c r="Y14" i="2"/>
  <c r="Y2" i="2"/>
  <c r="Z13" i="2"/>
  <c r="AA13" i="2"/>
  <c r="AB13" i="2"/>
  <c r="AC13" i="2"/>
  <c r="AD13" i="2"/>
  <c r="Z14" i="2"/>
  <c r="AA14" i="2"/>
  <c r="AB14" i="2"/>
  <c r="AC14" i="2"/>
  <c r="AD14" i="2"/>
  <c r="X13" i="2"/>
  <c r="D11" i="2"/>
  <c r="D10" i="2"/>
  <c r="D9" i="2"/>
  <c r="D8" i="2"/>
  <c r="D7" i="2"/>
  <c r="D6" i="2"/>
  <c r="D5" i="2"/>
  <c r="D4" i="2"/>
  <c r="D3" i="2"/>
  <c r="D2" i="2"/>
  <c r="AC12" i="2"/>
  <c r="AB12" i="2"/>
  <c r="AA12" i="2"/>
  <c r="Z12" i="2"/>
  <c r="AD12" i="2"/>
  <c r="AC11" i="2"/>
  <c r="AB11" i="2"/>
  <c r="AA11" i="2"/>
  <c r="Z11" i="2"/>
  <c r="AD11" i="2"/>
  <c r="AC10" i="2"/>
  <c r="AB10" i="2"/>
  <c r="AA10" i="2"/>
  <c r="Z10" i="2"/>
  <c r="AD10" i="2"/>
  <c r="AC9" i="2"/>
  <c r="AB9" i="2"/>
  <c r="AA9" i="2"/>
  <c r="Z9" i="2"/>
  <c r="AD9" i="2"/>
  <c r="AC8" i="2"/>
  <c r="AB8" i="2"/>
  <c r="AA8" i="2"/>
  <c r="Z8" i="2"/>
  <c r="AD8" i="2"/>
  <c r="AC7" i="2"/>
  <c r="AB7" i="2"/>
  <c r="AA7" i="2"/>
  <c r="Z7" i="2"/>
  <c r="AD7" i="2"/>
  <c r="AC6" i="2"/>
  <c r="AB6" i="2"/>
  <c r="AA6" i="2"/>
  <c r="Z6" i="2"/>
  <c r="AD6" i="2"/>
  <c r="AC5" i="2"/>
  <c r="AB5" i="2"/>
  <c r="AA5" i="2"/>
  <c r="Z5" i="2"/>
  <c r="AD5" i="2"/>
  <c r="AC4" i="2"/>
  <c r="AB4" i="2"/>
  <c r="AA4" i="2"/>
  <c r="Z4" i="2"/>
  <c r="AD4" i="2"/>
  <c r="AC3" i="2"/>
  <c r="AB3" i="2"/>
  <c r="AA3" i="2"/>
  <c r="Z3" i="2"/>
  <c r="AD3" i="2"/>
  <c r="AC2" i="2"/>
  <c r="AB2" i="2"/>
  <c r="AA2" i="2"/>
  <c r="Z2" i="2"/>
  <c r="AD2" i="2"/>
  <c r="L15" i="2" l="1"/>
  <c r="M10" i="2"/>
  <c r="W10" i="2" s="1"/>
  <c r="L4" i="2"/>
  <c r="V4" i="2" s="1"/>
  <c r="L14" i="2"/>
  <c r="L3" i="2"/>
  <c r="V3" i="2" s="1"/>
  <c r="L5" i="2"/>
  <c r="V5" i="2" s="1"/>
  <c r="L8" i="2"/>
  <c r="V8" i="2" s="1"/>
  <c r="M7" i="2"/>
  <c r="W7" i="2" s="1"/>
  <c r="M6" i="2"/>
  <c r="W6" i="2" s="1"/>
  <c r="M13" i="2"/>
  <c r="M8" i="2"/>
  <c r="W8" i="2" s="1"/>
  <c r="X5" i="2"/>
  <c r="M11" i="2"/>
  <c r="W11" i="2" s="1"/>
  <c r="X15" i="2"/>
  <c r="B15" i="2"/>
  <c r="X14" i="2"/>
  <c r="W15" i="2"/>
  <c r="B14" i="2"/>
  <c r="B13" i="2"/>
  <c r="C14" i="2"/>
  <c r="W14" i="2" s="1"/>
  <c r="C13" i="2"/>
  <c r="W13" i="2" s="1"/>
  <c r="C3" i="2"/>
  <c r="C12" i="2"/>
  <c r="C11" i="2"/>
  <c r="C9" i="2"/>
  <c r="C4" i="2"/>
  <c r="B3" i="2"/>
  <c r="B5" i="2"/>
  <c r="B6" i="2"/>
  <c r="B4" i="2"/>
  <c r="B7" i="2"/>
  <c r="B12" i="2"/>
  <c r="C10" i="2"/>
  <c r="C5" i="2"/>
  <c r="C6" i="2"/>
  <c r="B10" i="2"/>
  <c r="C7" i="2"/>
  <c r="B8" i="2"/>
  <c r="B11" i="2"/>
  <c r="C8" i="2"/>
  <c r="B9" i="2"/>
  <c r="X12" i="2"/>
  <c r="V13" i="2" l="1"/>
  <c r="V14" i="2"/>
  <c r="V15" i="2"/>
  <c r="V12" i="2"/>
  <c r="W12" i="2"/>
</calcChain>
</file>

<file path=xl/sharedStrings.xml><?xml version="1.0" encoding="utf-8"?>
<sst xmlns="http://schemas.openxmlformats.org/spreadsheetml/2006/main" count="72" uniqueCount="28">
  <si>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</si>
  <si>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</si>
  <si>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</si>
  <si>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</si>
  <si>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</si>
  <si>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</si>
  <si>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</si>
  <si>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</si>
  <si>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</si>
  <si>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</si>
  <si>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</si>
  <si>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c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</si>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</sst>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76" fontId="4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176" fontId="0" fillId="0" borderId="2" xfId="0" applyNumberForma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E17"/>
  <sheetViews>
    <sheetView tabSelected="1" workbookViewId="0"/>
  </sheetViews>
  <sheetFormatPr defaultColWidth="7.5" defaultRowHeight="14.25" customHeight="1" x14ac:dyDescent="0.2"/>
  <cols>
    <col min="1" max="1" width="7.5" style="13"/>
    <col min="2" max="9" width="7.5" style="2"/>
    <col min="10" max="10" width="7.5" style="17"/>
    <col min="11" max="11" width="7.5" style="13"/>
    <col min="12" max="19" width="7.5" style="2"/>
    <col min="20" max="20" width="7.5" style="17"/>
    <col min="21" max="21" width="7.5" style="13"/>
    <col min="22" max="29" width="7.5" style="2"/>
    <col min="30" max="30" width="7.5" style="17"/>
    <col min="31" max="31" width="7.5" style="13"/>
    <col min="32" max="16384" width="7.5" style="2"/>
  </cols>
  <sheetData>
    <row r="1" spans="1:30" ht="14.25" customHeight="1" x14ac:dyDescent="0.2">
      <c r="A1" s="23" t="s">
        <v>18</v>
      </c>
      <c r="B1" s="9" t="s">
        <v>19</v>
      </c>
      <c r="C1" s="9" t="s">
        <v>20</v>
      </c>
      <c r="D1" s="1" t="s">
        <v>21</v>
      </c>
      <c r="E1" s="9" t="s">
        <v>25</v>
      </c>
      <c r="F1" s="1" t="s">
        <v>11</v>
      </c>
      <c r="G1" s="1" t="s">
        <v>12</v>
      </c>
      <c r="H1" s="1" t="s">
        <v>13</v>
      </c>
      <c r="I1" s="1" t="s">
        <v>14</v>
      </c>
      <c r="J1" s="21" t="s">
        <v>22</v>
      </c>
      <c r="K1" s="12" t="s">
        <v>17</v>
      </c>
      <c r="L1" s="9" t="s">
        <v>16</v>
      </c>
      <c r="M1" s="9" t="s">
        <v>15</v>
      </c>
      <c r="N1" s="1" t="s">
        <v>21</v>
      </c>
      <c r="O1" s="1" t="s">
        <v>25</v>
      </c>
      <c r="P1" s="1" t="s">
        <v>11</v>
      </c>
      <c r="Q1" s="1" t="s">
        <v>12</v>
      </c>
      <c r="R1" s="1" t="s">
        <v>13</v>
      </c>
      <c r="S1" s="1" t="s">
        <v>14</v>
      </c>
      <c r="T1" s="21" t="s">
        <v>22</v>
      </c>
      <c r="U1" s="12" t="s">
        <v>27</v>
      </c>
      <c r="V1" s="9" t="s">
        <v>16</v>
      </c>
      <c r="W1" s="9" t="s">
        <v>15</v>
      </c>
      <c r="X1" s="1" t="s">
        <v>21</v>
      </c>
      <c r="Y1" s="1" t="s">
        <v>25</v>
      </c>
      <c r="Z1" s="1" t="s">
        <v>11</v>
      </c>
      <c r="AA1" s="1" t="s">
        <v>12</v>
      </c>
      <c r="AB1" s="1" t="s">
        <v>13</v>
      </c>
      <c r="AC1" s="1" t="s">
        <v>14</v>
      </c>
      <c r="AD1" s="21" t="s">
        <v>22</v>
      </c>
    </row>
    <row r="2" spans="1:30" ht="14.25" customHeight="1" x14ac:dyDescent="0.2">
      <c r="A2" s="18" t="s">
        <v>0</v>
      </c>
      <c r="B2" s="10">
        <v>1</v>
      </c>
      <c r="C2" s="10">
        <v>1</v>
      </c>
      <c r="D2" s="4">
        <f>SUM(F2:I2)</f>
        <v>1112.3339999999998</v>
      </c>
      <c r="E2" s="10">
        <v>367.072</v>
      </c>
      <c r="F2" s="5">
        <v>2.1389999999999998</v>
      </c>
      <c r="G2" s="5">
        <v>257.93099999999998</v>
      </c>
      <c r="H2" s="5">
        <v>205.797</v>
      </c>
      <c r="I2" s="5">
        <v>646.46699999999998</v>
      </c>
      <c r="J2" s="22">
        <v>1081.153</v>
      </c>
      <c r="K2" s="18" t="s">
        <v>0</v>
      </c>
      <c r="L2" s="10">
        <v>1</v>
      </c>
      <c r="M2" s="10">
        <v>1</v>
      </c>
      <c r="N2" s="4">
        <f>SUM(P2:S2)</f>
        <v>32.756999999999998</v>
      </c>
      <c r="O2" s="10">
        <v>66.028999999999996</v>
      </c>
      <c r="P2" s="5">
        <v>0.65900000000000003</v>
      </c>
      <c r="Q2" s="5">
        <v>4.835</v>
      </c>
      <c r="R2" s="5">
        <v>11.948</v>
      </c>
      <c r="S2" s="5">
        <v>15.315</v>
      </c>
      <c r="T2" s="22">
        <v>26.135999999999999</v>
      </c>
      <c r="U2" s="18" t="s">
        <v>0</v>
      </c>
      <c r="V2" s="10">
        <f>ROUND(B2/L2,3)</f>
        <v>1</v>
      </c>
      <c r="W2" s="10">
        <f>ROUND(C2/M2,3)</f>
        <v>1</v>
      </c>
      <c r="X2" s="4">
        <f>ROUND(D2/N2,3)</f>
        <v>33.957000000000001</v>
      </c>
      <c r="Y2" s="10">
        <f>ROUND(E2/O2,3)</f>
        <v>5.5590000000000002</v>
      </c>
      <c r="Z2" s="5">
        <f>ROUND(F2/P2,3)</f>
        <v>3.246</v>
      </c>
      <c r="AA2" s="5">
        <f>ROUND(G2/Q2,3)</f>
        <v>53.347000000000001</v>
      </c>
      <c r="AB2" s="5">
        <f>ROUND(H2/R2,3)</f>
        <v>17.224</v>
      </c>
      <c r="AC2" s="5">
        <f>ROUND(I2/S2,3)</f>
        <v>42.210999999999999</v>
      </c>
      <c r="AD2" s="22">
        <f>ROUND(J2/T2,3)</f>
        <v>41.366</v>
      </c>
    </row>
    <row r="3" spans="1:30" ht="14.25" customHeight="1" x14ac:dyDescent="0.2">
      <c r="A3" s="18" t="s">
        <v>1</v>
      </c>
      <c r="B3" s="11">
        <f>D$2/D3</f>
        <v>1.561876384836375</v>
      </c>
      <c r="C3" s="11">
        <f>D2/D3</f>
        <v>1.561876384836375</v>
      </c>
      <c r="D3" s="6">
        <f t="shared" ref="D3:D12" si="0">SUM(F3:I3)</f>
        <v>712.178</v>
      </c>
      <c r="E3" s="10">
        <v>376.065</v>
      </c>
      <c r="F3" s="8">
        <v>0.26</v>
      </c>
      <c r="G3" s="5">
        <v>264.76499999999999</v>
      </c>
      <c r="H3" s="5">
        <v>439.76499999999999</v>
      </c>
      <c r="I3" s="8">
        <v>7.3879999999999999</v>
      </c>
      <c r="J3" s="15">
        <v>1124.867</v>
      </c>
      <c r="K3" s="18" t="s">
        <v>1</v>
      </c>
      <c r="L3" s="11">
        <f>N$2/N3</f>
        <v>1.8912817551963046</v>
      </c>
      <c r="M3" s="11">
        <f>N2/N3</f>
        <v>1.8912817551963046</v>
      </c>
      <c r="N3" s="6">
        <f t="shared" ref="N3:N12" si="1">SUM(P3:S3)</f>
        <v>17.32</v>
      </c>
      <c r="O3" s="10">
        <v>65.481999999999999</v>
      </c>
      <c r="P3" s="8">
        <v>0.16600000000000001</v>
      </c>
      <c r="Q3" s="5">
        <v>4.7640000000000002</v>
      </c>
      <c r="R3" s="5">
        <v>11.94</v>
      </c>
      <c r="S3" s="8">
        <v>0.45</v>
      </c>
      <c r="T3" s="15">
        <v>25.870999999999999</v>
      </c>
      <c r="U3" s="18" t="s">
        <v>1</v>
      </c>
      <c r="V3" s="11">
        <f>ROUND(B3/L3,3)</f>
        <v>0.82599999999999996</v>
      </c>
      <c r="W3" s="11">
        <f>ROUND(C3/M3,3)</f>
        <v>0.82599999999999996</v>
      </c>
      <c r="X3" s="6">
        <f>ROUND(D3/N3,3)</f>
        <v>41.119</v>
      </c>
      <c r="Y3" s="10">
        <f>ROUND(E3/O3,3)</f>
        <v>5.7430000000000003</v>
      </c>
      <c r="Z3" s="8">
        <f>ROUND(F3/P3,3)</f>
        <v>1.5660000000000001</v>
      </c>
      <c r="AA3" s="5">
        <f>ROUND(G3/Q3,3)</f>
        <v>55.576000000000001</v>
      </c>
      <c r="AB3" s="5">
        <f>ROUND(H3/R3,3)</f>
        <v>36.831000000000003</v>
      </c>
      <c r="AC3" s="8">
        <f>ROUND(I3/S3,3)</f>
        <v>16.417999999999999</v>
      </c>
      <c r="AD3" s="15">
        <f>ROUND(J3/T3,3)</f>
        <v>43.48</v>
      </c>
    </row>
    <row r="4" spans="1:30" ht="14.25" customHeight="1" x14ac:dyDescent="0.2">
      <c r="A4" s="18" t="s">
        <v>2</v>
      </c>
      <c r="B4" s="11">
        <f t="shared" ref="B4:B12" si="2">D$2/D4</f>
        <v>2.0717982912796402</v>
      </c>
      <c r="C4" s="11">
        <f t="shared" ref="C4:C12" si="3">D3/D4</f>
        <v>1.3264803228948785</v>
      </c>
      <c r="D4" s="6">
        <f t="shared" si="0"/>
        <v>536.89300000000003</v>
      </c>
      <c r="E4" s="10">
        <v>365.80399999999997</v>
      </c>
      <c r="F4" s="5">
        <v>0.25900000000000001</v>
      </c>
      <c r="G4" s="8">
        <v>106.236</v>
      </c>
      <c r="H4" s="5">
        <v>422.755</v>
      </c>
      <c r="I4" s="5">
        <v>7.6429999999999998</v>
      </c>
      <c r="J4" s="22">
        <v>1082.0139999999999</v>
      </c>
      <c r="K4" s="18" t="s">
        <v>2</v>
      </c>
      <c r="L4" s="11">
        <f t="shared" ref="L4:L12" si="4">N$2/N4</f>
        <v>1.9595023030448042</v>
      </c>
      <c r="M4" s="11">
        <f t="shared" ref="M4:M12" si="5">N3/N4</f>
        <v>1.0360710653825447</v>
      </c>
      <c r="N4" s="6">
        <f t="shared" si="1"/>
        <v>16.717000000000002</v>
      </c>
      <c r="O4" s="10">
        <v>65.293000000000006</v>
      </c>
      <c r="P4" s="5">
        <v>0.17100000000000001</v>
      </c>
      <c r="Q4" s="8">
        <v>3.714</v>
      </c>
      <c r="R4" s="5">
        <v>12.343</v>
      </c>
      <c r="S4" s="5">
        <v>0.48899999999999999</v>
      </c>
      <c r="T4" s="22">
        <v>27.152999999999999</v>
      </c>
      <c r="U4" s="18" t="s">
        <v>2</v>
      </c>
      <c r="V4" s="11">
        <f>ROUND(B4/L4,3)</f>
        <v>1.0569999999999999</v>
      </c>
      <c r="W4" s="11">
        <f>ROUND(C4/M4,3)</f>
        <v>1.28</v>
      </c>
      <c r="X4" s="6">
        <f>ROUND(D4/N4,3)</f>
        <v>32.116999999999997</v>
      </c>
      <c r="Y4" s="10">
        <f>ROUND(E4/O4,3)</f>
        <v>5.6020000000000003</v>
      </c>
      <c r="Z4" s="5">
        <f>ROUND(F4/P4,3)</f>
        <v>1.5149999999999999</v>
      </c>
      <c r="AA4" s="8">
        <f>ROUND(G4/Q4,3)</f>
        <v>28.603999999999999</v>
      </c>
      <c r="AB4" s="5">
        <f>ROUND(H4/R4,3)</f>
        <v>34.250999999999998</v>
      </c>
      <c r="AC4" s="5">
        <f>ROUND(I4/S4,3)</f>
        <v>15.63</v>
      </c>
      <c r="AD4" s="22">
        <f>ROUND(J4/T4,3)</f>
        <v>39.848999999999997</v>
      </c>
    </row>
    <row r="5" spans="1:30" ht="14.25" customHeight="1" x14ac:dyDescent="0.2">
      <c r="A5" s="18" t="s">
        <v>3</v>
      </c>
      <c r="B5" s="11">
        <f t="shared" si="2"/>
        <v>3.7075451888047084</v>
      </c>
      <c r="C5" s="11">
        <f t="shared" si="3"/>
        <v>1.7895299964335594</v>
      </c>
      <c r="D5" s="6">
        <f t="shared" si="0"/>
        <v>300.01900000000001</v>
      </c>
      <c r="E5" s="10">
        <v>376.46</v>
      </c>
      <c r="F5" s="5">
        <v>0.25800000000000001</v>
      </c>
      <c r="G5" s="5">
        <v>109.84399999999999</v>
      </c>
      <c r="H5" s="8">
        <v>182.58099999999999</v>
      </c>
      <c r="I5" s="5">
        <v>7.3360000000000003</v>
      </c>
      <c r="J5" s="22">
        <v>946.61900000000003</v>
      </c>
      <c r="K5" s="18" t="s">
        <v>3</v>
      </c>
      <c r="L5" s="11">
        <f t="shared" si="4"/>
        <v>3.5116852487135501</v>
      </c>
      <c r="M5" s="11">
        <f t="shared" si="5"/>
        <v>1.7921312178387649</v>
      </c>
      <c r="N5" s="6">
        <f t="shared" si="1"/>
        <v>9.3280000000000012</v>
      </c>
      <c r="O5" s="10">
        <v>67.84</v>
      </c>
      <c r="P5" s="5">
        <v>0.193</v>
      </c>
      <c r="Q5" s="5">
        <v>3.7240000000000002</v>
      </c>
      <c r="R5" s="8">
        <v>4.9530000000000003</v>
      </c>
      <c r="S5" s="5">
        <v>0.45800000000000002</v>
      </c>
      <c r="T5" s="22">
        <v>27.033999999999999</v>
      </c>
      <c r="U5" s="18" t="s">
        <v>3</v>
      </c>
      <c r="V5" s="11">
        <f>ROUND(B5/L5,3)</f>
        <v>1.056</v>
      </c>
      <c r="W5" s="11">
        <f>ROUND(C5/M5,3)</f>
        <v>0.999</v>
      </c>
      <c r="X5" s="6">
        <f>ROUND(D5/N5,3)</f>
        <v>32.162999999999997</v>
      </c>
      <c r="Y5" s="10">
        <f>ROUND(E5/O5,3)</f>
        <v>5.5490000000000004</v>
      </c>
      <c r="Z5" s="5">
        <f>ROUND(F5/P5,3)</f>
        <v>1.337</v>
      </c>
      <c r="AA5" s="5">
        <f>ROUND(G5/Q5,3)</f>
        <v>29.495999999999999</v>
      </c>
      <c r="AB5" s="8">
        <f>ROUND(H5/R5,3)</f>
        <v>36.863</v>
      </c>
      <c r="AC5" s="5">
        <f>ROUND(I5/S5,3)</f>
        <v>16.016999999999999</v>
      </c>
      <c r="AD5" s="22">
        <f>ROUND(J5/T5,3)</f>
        <v>35.015999999999998</v>
      </c>
    </row>
    <row r="6" spans="1:30" ht="14.25" customHeight="1" x14ac:dyDescent="0.2">
      <c r="A6" s="18" t="s">
        <v>4</v>
      </c>
      <c r="B6" s="10">
        <f t="shared" si="2"/>
        <v>3.7456611194547516</v>
      </c>
      <c r="C6" s="10">
        <f t="shared" si="3"/>
        <v>1.0102806381875367</v>
      </c>
      <c r="D6" s="4">
        <f t="shared" si="0"/>
        <v>296.96600000000001</v>
      </c>
      <c r="E6" s="10">
        <v>378.15</v>
      </c>
      <c r="F6" s="5">
        <v>0.25700000000000001</v>
      </c>
      <c r="G6" s="5">
        <v>106.133</v>
      </c>
      <c r="H6" s="5">
        <v>183.876</v>
      </c>
      <c r="I6" s="7">
        <v>6.7</v>
      </c>
      <c r="J6" s="16">
        <v>155.20400000000001</v>
      </c>
      <c r="K6" s="18" t="s">
        <v>4</v>
      </c>
      <c r="L6" s="10">
        <f t="shared" si="4"/>
        <v>3.5601565047277464</v>
      </c>
      <c r="M6" s="10">
        <f t="shared" si="5"/>
        <v>1.0138028475165743</v>
      </c>
      <c r="N6" s="4">
        <f t="shared" si="1"/>
        <v>9.2010000000000005</v>
      </c>
      <c r="O6" s="10">
        <v>66.164000000000001</v>
      </c>
      <c r="P6" s="5">
        <v>0.19</v>
      </c>
      <c r="Q6" s="5">
        <v>3.64</v>
      </c>
      <c r="R6" s="5">
        <v>4.8940000000000001</v>
      </c>
      <c r="S6" s="7">
        <v>0.47699999999999998</v>
      </c>
      <c r="T6" s="16">
        <v>4.4000000000000004</v>
      </c>
      <c r="U6" s="18" t="s">
        <v>4</v>
      </c>
      <c r="V6" s="10">
        <f>ROUND(B6/L6,3)</f>
        <v>1.052</v>
      </c>
      <c r="W6" s="10">
        <f>ROUND(C6/M6,3)</f>
        <v>0.997</v>
      </c>
      <c r="X6" s="4">
        <f>ROUND(D6/N6,3)</f>
        <v>32.274999999999999</v>
      </c>
      <c r="Y6" s="10">
        <f>ROUND(E6/O6,3)</f>
        <v>5.7149999999999999</v>
      </c>
      <c r="Z6" s="5">
        <f>ROUND(F6/P6,3)</f>
        <v>1.353</v>
      </c>
      <c r="AA6" s="5">
        <f>ROUND(G6/Q6,3)</f>
        <v>29.157</v>
      </c>
      <c r="AB6" s="5">
        <f>ROUND(H6/R6,3)</f>
        <v>37.572000000000003</v>
      </c>
      <c r="AC6" s="7">
        <f>ROUND(I6/S6,3)</f>
        <v>14.045999999999999</v>
      </c>
      <c r="AD6" s="16">
        <f>ROUND(J6/T6,3)</f>
        <v>35.274000000000001</v>
      </c>
    </row>
    <row r="7" spans="1:30" ht="14.25" customHeight="1" x14ac:dyDescent="0.2">
      <c r="A7" s="18" t="s">
        <v>5</v>
      </c>
      <c r="B7" s="10">
        <f t="shared" si="2"/>
        <v>3.696161731623596</v>
      </c>
      <c r="C7" s="10">
        <f t="shared" si="3"/>
        <v>0.98678487288290484</v>
      </c>
      <c r="D7" s="4">
        <f t="shared" si="0"/>
        <v>300.94299999999998</v>
      </c>
      <c r="E7" s="10">
        <v>368.892</v>
      </c>
      <c r="F7" s="5">
        <v>0.252</v>
      </c>
      <c r="G7" s="5">
        <v>115.97799999999999</v>
      </c>
      <c r="H7" s="5">
        <v>181.94800000000001</v>
      </c>
      <c r="I7" s="8">
        <v>2.7650000000000001</v>
      </c>
      <c r="J7" s="22">
        <v>155.75899999999999</v>
      </c>
      <c r="K7" s="18" t="s">
        <v>5</v>
      </c>
      <c r="L7" s="10">
        <f t="shared" si="4"/>
        <v>3.7126827609656576</v>
      </c>
      <c r="M7" s="10">
        <f t="shared" si="5"/>
        <v>1.0428425705542332</v>
      </c>
      <c r="N7" s="4">
        <f t="shared" si="1"/>
        <v>8.8230000000000004</v>
      </c>
      <c r="O7" s="10">
        <v>76.504000000000005</v>
      </c>
      <c r="P7" s="5">
        <v>0.16</v>
      </c>
      <c r="Q7" s="5">
        <v>3.54</v>
      </c>
      <c r="R7" s="5">
        <v>4.9160000000000004</v>
      </c>
      <c r="S7" s="8">
        <v>0.20699999999999999</v>
      </c>
      <c r="T7" s="22">
        <v>4.4710000000000001</v>
      </c>
      <c r="U7" s="18" t="s">
        <v>5</v>
      </c>
      <c r="V7" s="10">
        <f>ROUND(B7/L7,3)</f>
        <v>0.996</v>
      </c>
      <c r="W7" s="10">
        <f>ROUND(C7/M7,3)</f>
        <v>0.94599999999999995</v>
      </c>
      <c r="X7" s="4">
        <f>ROUND(D7/N7,3)</f>
        <v>34.109000000000002</v>
      </c>
      <c r="Y7" s="10">
        <f>ROUND(E7/O7,3)</f>
        <v>4.8220000000000001</v>
      </c>
      <c r="Z7" s="5">
        <f>ROUND(F7/P7,3)</f>
        <v>1.575</v>
      </c>
      <c r="AA7" s="5">
        <f>ROUND(G7/Q7,3)</f>
        <v>32.762</v>
      </c>
      <c r="AB7" s="5">
        <f>ROUND(H7/R7,3)</f>
        <v>37.011000000000003</v>
      </c>
      <c r="AC7" s="8">
        <f>ROUND(I7/S7,3)</f>
        <v>13.356999999999999</v>
      </c>
      <c r="AD7" s="22">
        <f>ROUND(J7/T7,3)</f>
        <v>34.838000000000001</v>
      </c>
    </row>
    <row r="8" spans="1:30" ht="14.25" customHeight="1" x14ac:dyDescent="0.2">
      <c r="A8" s="18" t="s">
        <v>6</v>
      </c>
      <c r="B8" s="10">
        <f t="shared" si="2"/>
        <v>3.6138324036140457</v>
      </c>
      <c r="C8" s="10">
        <f t="shared" si="3"/>
        <v>0.97772572360533971</v>
      </c>
      <c r="D8" s="4">
        <f t="shared" si="0"/>
        <v>307.79900000000004</v>
      </c>
      <c r="E8" s="10">
        <v>474.35700000000003</v>
      </c>
      <c r="F8" s="8">
        <v>5.0000000000000001E-3</v>
      </c>
      <c r="G8" s="5">
        <v>117.661</v>
      </c>
      <c r="H8" s="5">
        <v>187.90100000000001</v>
      </c>
      <c r="I8" s="5">
        <v>2.2320000000000002</v>
      </c>
      <c r="J8" s="22">
        <v>158.601</v>
      </c>
      <c r="K8" s="18" t="s">
        <v>6</v>
      </c>
      <c r="L8" s="10">
        <f t="shared" si="4"/>
        <v>3.7398104806484764</v>
      </c>
      <c r="M8" s="10">
        <f t="shared" si="5"/>
        <v>1.0073067701792444</v>
      </c>
      <c r="N8" s="4">
        <f t="shared" si="1"/>
        <v>8.7589999999999986</v>
      </c>
      <c r="O8" s="10">
        <v>88.95</v>
      </c>
      <c r="P8" s="8">
        <v>2E-3</v>
      </c>
      <c r="Q8" s="5">
        <v>3.6080000000000001</v>
      </c>
      <c r="R8" s="5">
        <v>4.9589999999999996</v>
      </c>
      <c r="S8" s="5">
        <v>0.19</v>
      </c>
      <c r="T8" s="22">
        <v>4.4660000000000002</v>
      </c>
      <c r="U8" s="18" t="s">
        <v>6</v>
      </c>
      <c r="V8" s="10">
        <f>ROUND(B8/L8,3)</f>
        <v>0.96599999999999997</v>
      </c>
      <c r="W8" s="10">
        <f>ROUND(C8/M8,3)</f>
        <v>0.97099999999999997</v>
      </c>
      <c r="X8" s="4">
        <f>ROUND(D8/N8,3)</f>
        <v>35.140999999999998</v>
      </c>
      <c r="Y8" s="10">
        <f>ROUND(E8/O8,3)</f>
        <v>5.3330000000000002</v>
      </c>
      <c r="Z8" s="8">
        <f>ROUND(F8/P8,3)</f>
        <v>2.5</v>
      </c>
      <c r="AA8" s="5">
        <f>ROUND(G8/Q8,3)</f>
        <v>32.610999999999997</v>
      </c>
      <c r="AB8" s="5">
        <f>ROUND(H8/R8,3)</f>
        <v>37.890999999999998</v>
      </c>
      <c r="AC8" s="5">
        <f>ROUND(I8/S8,3)</f>
        <v>11.747</v>
      </c>
      <c r="AD8" s="22">
        <f>ROUND(J8/T8,3)</f>
        <v>35.512999999999998</v>
      </c>
    </row>
    <row r="9" spans="1:30" ht="14.25" customHeight="1" x14ac:dyDescent="0.2">
      <c r="A9" s="18" t="s">
        <v>7</v>
      </c>
      <c r="B9" s="10">
        <f t="shared" si="2"/>
        <v>3.6686235578920976</v>
      </c>
      <c r="C9" s="10">
        <f t="shared" si="3"/>
        <v>1.0151615094887239</v>
      </c>
      <c r="D9" s="4">
        <f t="shared" si="0"/>
        <v>303.202</v>
      </c>
      <c r="E9" s="10">
        <v>484.75700000000001</v>
      </c>
      <c r="F9" s="5">
        <v>5.0000000000000001E-3</v>
      </c>
      <c r="G9" s="5">
        <v>114.488</v>
      </c>
      <c r="H9" s="5">
        <v>186.03100000000001</v>
      </c>
      <c r="I9" s="5">
        <v>2.6779999999999999</v>
      </c>
      <c r="J9" s="22">
        <v>159.75899999999999</v>
      </c>
      <c r="K9" s="18" t="s">
        <v>7</v>
      </c>
      <c r="L9" s="10">
        <f t="shared" si="4"/>
        <v>3.7996752116923784</v>
      </c>
      <c r="M9" s="10">
        <f t="shared" si="5"/>
        <v>1.0160074237327454</v>
      </c>
      <c r="N9" s="4">
        <f t="shared" si="1"/>
        <v>8.6210000000000004</v>
      </c>
      <c r="O9" s="10">
        <v>91.006</v>
      </c>
      <c r="P9" s="5">
        <v>3.0000000000000001E-3</v>
      </c>
      <c r="Q9" s="5">
        <v>3.55</v>
      </c>
      <c r="R9" s="5">
        <v>4.8780000000000001</v>
      </c>
      <c r="S9" s="5">
        <v>0.19</v>
      </c>
      <c r="T9" s="22">
        <v>4.42</v>
      </c>
      <c r="U9" s="18" t="s">
        <v>7</v>
      </c>
      <c r="V9" s="10">
        <f>ROUND(B9/L9,3)</f>
        <v>0.96599999999999997</v>
      </c>
      <c r="W9" s="10">
        <f>ROUND(C9/M9,3)</f>
        <v>0.999</v>
      </c>
      <c r="X9" s="4">
        <f>ROUND(D9/N9,3)</f>
        <v>35.17</v>
      </c>
      <c r="Y9" s="10">
        <f>ROUND(E9/O9,3)</f>
        <v>5.327</v>
      </c>
      <c r="Z9" s="5">
        <f>ROUND(F9/P9,3)</f>
        <v>1.667</v>
      </c>
      <c r="AA9" s="5">
        <f>ROUND(G9/Q9,3)</f>
        <v>32.25</v>
      </c>
      <c r="AB9" s="5">
        <f>ROUND(H9/R9,3)</f>
        <v>38.137</v>
      </c>
      <c r="AC9" s="5">
        <f>ROUND(I9/S9,3)</f>
        <v>14.095000000000001</v>
      </c>
      <c r="AD9" s="22">
        <f>ROUND(J9/T9,3)</f>
        <v>36.145000000000003</v>
      </c>
    </row>
    <row r="10" spans="1:30" ht="14.25" customHeight="1" x14ac:dyDescent="0.2">
      <c r="A10" s="18" t="s">
        <v>8</v>
      </c>
      <c r="B10" s="10">
        <f t="shared" si="2"/>
        <v>3.6192648460810122</v>
      </c>
      <c r="C10" s="10">
        <f t="shared" si="3"/>
        <v>0.98654571366285237</v>
      </c>
      <c r="D10" s="4">
        <f t="shared" si="0"/>
        <v>307.33699999999993</v>
      </c>
      <c r="E10" s="11">
        <v>247.292</v>
      </c>
      <c r="F10" s="5">
        <v>5.0000000000000001E-3</v>
      </c>
      <c r="G10" s="5">
        <v>120.297</v>
      </c>
      <c r="H10" s="5">
        <v>184.65199999999999</v>
      </c>
      <c r="I10" s="7">
        <v>2.383</v>
      </c>
      <c r="J10" s="22">
        <v>157.55099999999999</v>
      </c>
      <c r="K10" s="18" t="s">
        <v>8</v>
      </c>
      <c r="L10" s="10">
        <f t="shared" si="4"/>
        <v>3.7492274236007788</v>
      </c>
      <c r="M10" s="10">
        <f t="shared" si="5"/>
        <v>0.98672313150967172</v>
      </c>
      <c r="N10" s="4">
        <f t="shared" si="1"/>
        <v>8.7369999999999983</v>
      </c>
      <c r="O10" s="11">
        <v>74.888999999999996</v>
      </c>
      <c r="P10" s="5">
        <v>3.0000000000000001E-3</v>
      </c>
      <c r="Q10" s="5">
        <v>3.5640000000000001</v>
      </c>
      <c r="R10" s="5">
        <v>4.9729999999999999</v>
      </c>
      <c r="S10" s="7">
        <v>0.19700000000000001</v>
      </c>
      <c r="T10" s="22">
        <v>4.468</v>
      </c>
      <c r="U10" s="18" t="s">
        <v>8</v>
      </c>
      <c r="V10" s="10">
        <f>ROUND(B10/L10,3)</f>
        <v>0.96499999999999997</v>
      </c>
      <c r="W10" s="10">
        <f>ROUND(C10/M10,3)</f>
        <v>1</v>
      </c>
      <c r="X10" s="4">
        <f>ROUND(D10/N10,3)</f>
        <v>35.176000000000002</v>
      </c>
      <c r="Y10" s="11">
        <f>ROUND(E10/O10,3)</f>
        <v>3.302</v>
      </c>
      <c r="Z10" s="5">
        <f>ROUND(F10/P10,3)</f>
        <v>1.667</v>
      </c>
      <c r="AA10" s="5">
        <f>ROUND(G10/Q10,3)</f>
        <v>33.753</v>
      </c>
      <c r="AB10" s="5">
        <f>ROUND(H10/R10,3)</f>
        <v>37.131</v>
      </c>
      <c r="AC10" s="7">
        <f>ROUND(I10/S10,3)</f>
        <v>12.096</v>
      </c>
      <c r="AD10" s="22">
        <f>ROUND(J10/T10,3)</f>
        <v>35.262</v>
      </c>
    </row>
    <row r="11" spans="1:30" ht="14.25" customHeight="1" x14ac:dyDescent="0.2">
      <c r="A11" s="18" t="s">
        <v>9</v>
      </c>
      <c r="B11" s="11">
        <f t="shared" si="2"/>
        <v>4.6541950492895268</v>
      </c>
      <c r="C11" s="11">
        <f t="shared" si="3"/>
        <v>1.2859503924751876</v>
      </c>
      <c r="D11" s="6">
        <f t="shared" si="0"/>
        <v>238.99600000000001</v>
      </c>
      <c r="E11" s="10">
        <v>212.542</v>
      </c>
      <c r="F11" s="5">
        <v>6.0000000000000001E-3</v>
      </c>
      <c r="G11" s="8">
        <v>48.052999999999997</v>
      </c>
      <c r="H11" s="5">
        <v>188.84100000000001</v>
      </c>
      <c r="I11" s="5">
        <v>2.0960000000000001</v>
      </c>
      <c r="J11" s="15">
        <v>162.86699999999999</v>
      </c>
      <c r="K11" s="18" t="s">
        <v>9</v>
      </c>
      <c r="L11" s="11">
        <f t="shared" si="4"/>
        <v>4.1157180550320387</v>
      </c>
      <c r="M11" s="11">
        <f t="shared" si="5"/>
        <v>1.0977509737404194</v>
      </c>
      <c r="N11" s="6">
        <f t="shared" si="1"/>
        <v>7.9589999999999996</v>
      </c>
      <c r="O11" s="10">
        <v>73.524000000000001</v>
      </c>
      <c r="P11" s="5">
        <v>3.0000000000000001E-3</v>
      </c>
      <c r="Q11" s="8">
        <v>1.41</v>
      </c>
      <c r="R11" s="5">
        <v>6.3529999999999998</v>
      </c>
      <c r="S11" s="5">
        <v>0.193</v>
      </c>
      <c r="T11" s="15">
        <v>5.8819999999999997</v>
      </c>
      <c r="U11" s="18" t="s">
        <v>9</v>
      </c>
      <c r="V11" s="11">
        <f>ROUND(B11/L11,3)</f>
        <v>1.131</v>
      </c>
      <c r="W11" s="11">
        <f>ROUND(C11/M11,3)</f>
        <v>1.171</v>
      </c>
      <c r="X11" s="6">
        <f>ROUND(D11/N11,3)</f>
        <v>30.027999999999999</v>
      </c>
      <c r="Y11" s="10">
        <f>ROUND(E11/O11,3)</f>
        <v>2.891</v>
      </c>
      <c r="Z11" s="5">
        <f>ROUND(F11/P11,3)</f>
        <v>2</v>
      </c>
      <c r="AA11" s="8">
        <f>ROUND(G11/Q11,3)</f>
        <v>34.08</v>
      </c>
      <c r="AB11" s="5">
        <f>ROUND(H11/R11,3)</f>
        <v>29.725000000000001</v>
      </c>
      <c r="AC11" s="5">
        <f>ROUND(I11/S11,3)</f>
        <v>10.86</v>
      </c>
      <c r="AD11" s="15">
        <f>ROUND(J11/T11,3)</f>
        <v>27.689</v>
      </c>
    </row>
    <row r="12" spans="1:30" ht="14.25" customHeight="1" x14ac:dyDescent="0.2">
      <c r="A12" s="18" t="s">
        <v>10</v>
      </c>
      <c r="B12" s="11">
        <f t="shared" si="2"/>
        <v>5.2697271176804996</v>
      </c>
      <c r="C12" s="11">
        <f t="shared" si="3"/>
        <v>1.1322531741519803</v>
      </c>
      <c r="D12" s="6">
        <f t="shared" si="0"/>
        <v>211.08</v>
      </c>
      <c r="E12" s="10">
        <v>216.535</v>
      </c>
      <c r="F12" s="5">
        <v>5.0000000000000001E-3</v>
      </c>
      <c r="G12" s="7">
        <v>46.692999999999998</v>
      </c>
      <c r="H12" s="8">
        <v>161.774</v>
      </c>
      <c r="I12" s="5">
        <v>2.6080000000000001</v>
      </c>
      <c r="J12" s="16">
        <v>135.74</v>
      </c>
      <c r="K12" s="18" t="s">
        <v>10</v>
      </c>
      <c r="L12" s="11">
        <f t="shared" si="4"/>
        <v>5.2077901430842601</v>
      </c>
      <c r="M12" s="11">
        <f t="shared" si="5"/>
        <v>1.2653418124006359</v>
      </c>
      <c r="N12" s="6">
        <f t="shared" si="1"/>
        <v>6.29</v>
      </c>
      <c r="O12" s="10">
        <v>73.067999999999998</v>
      </c>
      <c r="P12" s="5">
        <v>2E-3</v>
      </c>
      <c r="Q12" s="7">
        <v>1.359</v>
      </c>
      <c r="R12" s="8">
        <v>4.7460000000000004</v>
      </c>
      <c r="S12" s="5">
        <v>0.183</v>
      </c>
      <c r="T12" s="16">
        <v>3.9609999999999999</v>
      </c>
      <c r="U12" s="18" t="s">
        <v>10</v>
      </c>
      <c r="V12" s="11">
        <f>ROUND(B12/L12,3)</f>
        <v>1.012</v>
      </c>
      <c r="W12" s="11">
        <f>ROUND(C12/M12,3)</f>
        <v>0.89500000000000002</v>
      </c>
      <c r="X12" s="6">
        <f>ROUND(D12/N12,3)</f>
        <v>33.558</v>
      </c>
      <c r="Y12" s="10">
        <f>ROUND(E12/O12,3)</f>
        <v>2.9630000000000001</v>
      </c>
      <c r="Z12" s="5">
        <f>ROUND(F12/P12,3)</f>
        <v>2.5</v>
      </c>
      <c r="AA12" s="7">
        <f>ROUND(G12/Q12,3)</f>
        <v>34.357999999999997</v>
      </c>
      <c r="AB12" s="8">
        <f>ROUND(H12/R12,3)</f>
        <v>34.085999999999999</v>
      </c>
      <c r="AC12" s="5">
        <f>ROUND(I12/S12,3)</f>
        <v>14.250999999999999</v>
      </c>
      <c r="AD12" s="16">
        <f>ROUND(J12/T12,3)</f>
        <v>34.268999999999998</v>
      </c>
    </row>
    <row r="13" spans="1:30" ht="14.25" customHeight="1" x14ac:dyDescent="0.2">
      <c r="A13" s="19" t="s">
        <v>23</v>
      </c>
      <c r="B13" s="11">
        <f t="shared" ref="B13:B14" si="6">D$2/D13</f>
        <v>5.7623137653080256</v>
      </c>
      <c r="C13" s="11">
        <f t="shared" ref="C13:C14" si="7">D12/D13</f>
        <v>1.0934747922667276</v>
      </c>
      <c r="D13" s="6">
        <f t="shared" ref="D13:D14" si="8">SUM(F13:I13)</f>
        <v>193.03599999999997</v>
      </c>
      <c r="E13" s="10">
        <v>208.95400000000001</v>
      </c>
      <c r="F13" s="5">
        <v>5.0000000000000001E-3</v>
      </c>
      <c r="G13" s="8">
        <v>28.623999999999999</v>
      </c>
      <c r="H13" s="7">
        <v>161.77099999999999</v>
      </c>
      <c r="I13" s="5">
        <v>2.6360000000000001</v>
      </c>
      <c r="J13" s="15">
        <v>136.84</v>
      </c>
      <c r="K13" s="19" t="s">
        <v>23</v>
      </c>
      <c r="L13" s="11">
        <f t="shared" ref="L13:L14" si="9">N$2/N13</f>
        <v>5.647758620689654</v>
      </c>
      <c r="M13" s="11">
        <f t="shared" ref="M13:M14" si="10">N12/N13</f>
        <v>1.0844827586206895</v>
      </c>
      <c r="N13" s="6">
        <f t="shared" ref="N13:N14" si="11">SUM(P13:S13)</f>
        <v>5.8000000000000007</v>
      </c>
      <c r="O13" s="10">
        <v>74.634</v>
      </c>
      <c r="P13" s="5">
        <v>2E-3</v>
      </c>
      <c r="Q13" s="8">
        <v>0.86799999999999999</v>
      </c>
      <c r="R13" s="7">
        <v>4.7380000000000004</v>
      </c>
      <c r="S13" s="5">
        <v>0.192</v>
      </c>
      <c r="T13" s="15">
        <v>3.9350000000000001</v>
      </c>
      <c r="U13" s="19" t="s">
        <v>23</v>
      </c>
      <c r="V13" s="11">
        <f>ROUND(B13/L13,3)</f>
        <v>1.02</v>
      </c>
      <c r="W13" s="11">
        <f>ROUND(C13/M13,3)</f>
        <v>1.008</v>
      </c>
      <c r="X13" s="6">
        <f>ROUND(D13/N13,3)</f>
        <v>33.281999999999996</v>
      </c>
      <c r="Y13" s="10">
        <f>ROUND(E13/O13,3)</f>
        <v>2.8</v>
      </c>
      <c r="Z13" s="5">
        <f>ROUND(F13/P13,3)</f>
        <v>2.5</v>
      </c>
      <c r="AA13" s="8">
        <f>ROUND(G13/Q13,3)</f>
        <v>32.976999999999997</v>
      </c>
      <c r="AB13" s="7">
        <f>ROUND(H13/R13,3)</f>
        <v>34.143000000000001</v>
      </c>
      <c r="AC13" s="5">
        <f>ROUND(I13/S13,3)</f>
        <v>13.728999999999999</v>
      </c>
      <c r="AD13" s="15">
        <f>ROUND(J13/T13,3)</f>
        <v>34.774999999999999</v>
      </c>
    </row>
    <row r="14" spans="1:30" ht="14.25" customHeight="1" x14ac:dyDescent="0.2">
      <c r="A14" s="20" t="s">
        <v>24</v>
      </c>
      <c r="B14" s="10">
        <f t="shared" si="6"/>
        <v>5.6212268989948493</v>
      </c>
      <c r="C14" s="10">
        <f t="shared" si="7"/>
        <v>0.97551558765116397</v>
      </c>
      <c r="D14" s="4">
        <f t="shared" si="8"/>
        <v>197.881</v>
      </c>
      <c r="E14" s="10">
        <v>208.31</v>
      </c>
      <c r="F14" s="5">
        <v>5.0000000000000001E-3</v>
      </c>
      <c r="G14" s="8">
        <v>27.504000000000001</v>
      </c>
      <c r="H14" s="7">
        <v>168.22900000000001</v>
      </c>
      <c r="I14" s="5">
        <v>2.1429999999999998</v>
      </c>
      <c r="J14" s="15">
        <v>135.52000000000001</v>
      </c>
      <c r="K14" s="20" t="s">
        <v>24</v>
      </c>
      <c r="L14" s="10">
        <f t="shared" si="9"/>
        <v>5.6633817427385891</v>
      </c>
      <c r="M14" s="10">
        <f t="shared" si="10"/>
        <v>1.0027662517289075</v>
      </c>
      <c r="N14" s="4">
        <f t="shared" si="11"/>
        <v>5.7839999999999998</v>
      </c>
      <c r="O14" s="10">
        <v>74.733000000000004</v>
      </c>
      <c r="P14" s="5">
        <v>2E-3</v>
      </c>
      <c r="Q14" s="8">
        <v>0.84899999999999998</v>
      </c>
      <c r="R14" s="7">
        <v>4.7370000000000001</v>
      </c>
      <c r="S14" s="5">
        <v>0.19600000000000001</v>
      </c>
      <c r="T14" s="15">
        <v>3.9279999999999999</v>
      </c>
      <c r="U14" s="20" t="s">
        <v>24</v>
      </c>
      <c r="V14" s="10">
        <f>ROUND(B14/L14,3)</f>
        <v>0.99299999999999999</v>
      </c>
      <c r="W14" s="10">
        <f>ROUND(C14/M14,3)</f>
        <v>0.97299999999999998</v>
      </c>
      <c r="X14" s="4">
        <f>ROUND(D14/N14,3)</f>
        <v>34.212000000000003</v>
      </c>
      <c r="Y14" s="10">
        <f>ROUND(E14/O14,3)</f>
        <v>2.7869999999999999</v>
      </c>
      <c r="Z14" s="5">
        <f>ROUND(F14/P14,3)</f>
        <v>2.5</v>
      </c>
      <c r="AA14" s="8">
        <f>ROUND(G14/Q14,3)</f>
        <v>32.396000000000001</v>
      </c>
      <c r="AB14" s="7">
        <f>ROUND(H14/R14,3)</f>
        <v>35.514000000000003</v>
      </c>
      <c r="AC14" s="5">
        <f>ROUND(I14/S14,3)</f>
        <v>10.933999999999999</v>
      </c>
      <c r="AD14" s="15">
        <f>ROUND(J14/T14,3)</f>
        <v>34.500999999999998</v>
      </c>
    </row>
    <row r="15" spans="1:30" ht="14.25" customHeight="1" x14ac:dyDescent="0.2">
      <c r="A15" s="20" t="s">
        <v>26</v>
      </c>
      <c r="B15" s="11">
        <f t="shared" ref="B15" si="12">D$2/D15</f>
        <v>8.1513557086325648</v>
      </c>
      <c r="C15" s="11">
        <f t="shared" ref="C15" si="13">D14/D15</f>
        <v>1.4501025941667887</v>
      </c>
      <c r="D15" s="6">
        <f t="shared" ref="D15" si="14">SUM(F15:I15)</f>
        <v>136.46</v>
      </c>
      <c r="E15" s="10">
        <v>208.238</v>
      </c>
      <c r="F15" s="5">
        <v>5.0000000000000001E-3</v>
      </c>
      <c r="G15" s="7">
        <v>28.242000000000001</v>
      </c>
      <c r="H15" s="8">
        <v>106.137</v>
      </c>
      <c r="I15" s="5">
        <v>2.0760000000000001</v>
      </c>
      <c r="J15" s="16">
        <v>88.338999999999999</v>
      </c>
      <c r="K15" s="20" t="s">
        <v>26</v>
      </c>
      <c r="L15" s="11">
        <f t="shared" ref="L15" si="15">N$2/N15</f>
        <v>6.1250934928945391</v>
      </c>
      <c r="M15" s="11">
        <f t="shared" ref="M15" si="16">N14/N15</f>
        <v>1.0815258040388929</v>
      </c>
      <c r="N15" s="6">
        <f t="shared" ref="N15" si="17">SUM(P15:S15)</f>
        <v>5.3480000000000008</v>
      </c>
      <c r="O15" s="10">
        <v>73.632000000000005</v>
      </c>
      <c r="P15" s="5">
        <v>2E-3</v>
      </c>
      <c r="Q15" s="7">
        <v>0.82599999999999996</v>
      </c>
      <c r="R15" s="8">
        <v>4.3220000000000001</v>
      </c>
      <c r="S15" s="5">
        <v>0.19800000000000001</v>
      </c>
      <c r="T15" s="16">
        <v>3.7160000000000002</v>
      </c>
      <c r="U15" s="20" t="s">
        <v>26</v>
      </c>
      <c r="V15" s="11">
        <f>ROUND(B15/L15,3)</f>
        <v>1.331</v>
      </c>
      <c r="W15" s="11">
        <f>ROUND(C15/M15,3)</f>
        <v>1.341</v>
      </c>
      <c r="X15" s="6">
        <f>ROUND(D15/N15,3)</f>
        <v>25.515999999999998</v>
      </c>
      <c r="Y15" s="10">
        <f>ROUND(E15/O15,3)</f>
        <v>2.8279999999999998</v>
      </c>
      <c r="Z15" s="5">
        <f>ROUND(F15/P15,3)</f>
        <v>2.5</v>
      </c>
      <c r="AA15" s="7">
        <f>ROUND(G15/Q15,3)</f>
        <v>34.191000000000003</v>
      </c>
      <c r="AB15" s="8">
        <f>ROUND(H15/R15,3)</f>
        <v>24.556999999999999</v>
      </c>
      <c r="AC15" s="5">
        <f>ROUND(I15/S15,3)</f>
        <v>10.484999999999999</v>
      </c>
      <c r="AD15" s="16">
        <f>ROUND(J15/T15,3)</f>
        <v>23.773</v>
      </c>
    </row>
    <row r="16" spans="1:30" ht="14.25" customHeight="1" x14ac:dyDescent="0.2">
      <c r="K16" s="14"/>
      <c r="L16" s="3"/>
      <c r="M16" s="3"/>
      <c r="N16" s="3"/>
      <c r="O16" s="3"/>
      <c r="P16" s="3"/>
      <c r="Q16" s="3"/>
      <c r="R16" s="3"/>
      <c r="S16" s="3"/>
      <c r="T16" s="24"/>
    </row>
    <row r="17" spans="11:20" ht="14.25" customHeight="1" x14ac:dyDescent="0.2">
      <c r="K17" s="14"/>
      <c r="L17" s="3"/>
      <c r="M17" s="3"/>
      <c r="N17" s="3"/>
      <c r="O17" s="3"/>
      <c r="P17" s="3"/>
      <c r="Q17" s="3"/>
      <c r="R17" s="3"/>
      <c r="S17" s="3"/>
      <c r="T17" s="24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226A-ABDF-4A08-82A9-477B53B06893}">
  <dimension ref="A1"/>
  <sheetViews>
    <sheetView workbookViewId="0">
      <selection activeCell="J13" sqref="A1:J13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2026-05-02T09:25:38Z</dcterms:modified>
</cp:coreProperties>
</file>