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FD933992-36B5-4A1A-A1FC-07798FC6CB04}" xr6:coauthVersionLast="47" xr6:coauthVersionMax="47" xr10:uidLastSave="{00000000-0000-0000-0000-000000000000}"/>
  <bookViews>
    <workbookView xWindow="-120" yWindow="-120" windowWidth="38640" windowHeight="21120" xr2:uid="{7D9E62D1-CE3F-4CF7-9B1B-78C5766E129E}"/>
  </bookViews>
  <sheets>
    <sheet name="Sheet2" sheetId="2" r:id="rId1"/>
    <sheet name="Sheet1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6" i="2" l="1"/>
  <c r="M15" i="2"/>
  <c r="M14" i="2"/>
  <c r="L15" i="2" s="1"/>
  <c r="M13" i="2"/>
  <c r="M12" i="2"/>
  <c r="M11" i="2"/>
  <c r="M10" i="2"/>
  <c r="V10" i="2" s="1"/>
  <c r="M9" i="2"/>
  <c r="M8" i="2"/>
  <c r="M7" i="2"/>
  <c r="M6" i="2"/>
  <c r="M5" i="2"/>
  <c r="M4" i="2"/>
  <c r="L5" i="2" s="1"/>
  <c r="M3" i="2"/>
  <c r="M2" i="2"/>
  <c r="V2" i="2" s="1"/>
  <c r="D16" i="2"/>
  <c r="D15" i="2"/>
  <c r="D14" i="2"/>
  <c r="D13" i="2"/>
  <c r="V13" i="2" s="1"/>
  <c r="D12" i="2"/>
  <c r="D11" i="2"/>
  <c r="D10" i="2"/>
  <c r="D9" i="2"/>
  <c r="D8" i="2"/>
  <c r="D7" i="2"/>
  <c r="D6" i="2"/>
  <c r="D5" i="2"/>
  <c r="D4" i="2"/>
  <c r="D3" i="2"/>
  <c r="D2" i="2"/>
  <c r="W16" i="2"/>
  <c r="X16" i="2"/>
  <c r="Y16" i="2"/>
  <c r="Z16" i="2"/>
  <c r="AA16" i="2"/>
  <c r="T2" i="2"/>
  <c r="U2" i="2"/>
  <c r="K9" i="2"/>
  <c r="K10" i="2"/>
  <c r="W15" i="2"/>
  <c r="X15" i="2"/>
  <c r="Y15" i="2"/>
  <c r="Z15" i="2"/>
  <c r="AA15" i="2"/>
  <c r="W3" i="2"/>
  <c r="W4" i="2"/>
  <c r="W5" i="2"/>
  <c r="W6" i="2"/>
  <c r="W7" i="2"/>
  <c r="W8" i="2"/>
  <c r="W9" i="2"/>
  <c r="W10" i="2"/>
  <c r="W11" i="2"/>
  <c r="W12" i="2"/>
  <c r="W13" i="2"/>
  <c r="W14" i="2"/>
  <c r="W2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Z9" i="2"/>
  <c r="Y9" i="2"/>
  <c r="X9" i="2"/>
  <c r="AA9" i="2"/>
  <c r="Z8" i="2"/>
  <c r="Y8" i="2"/>
  <c r="X8" i="2"/>
  <c r="AA8" i="2"/>
  <c r="Z7" i="2"/>
  <c r="Y7" i="2"/>
  <c r="X7" i="2"/>
  <c r="AA7" i="2"/>
  <c r="Z6" i="2"/>
  <c r="Y6" i="2"/>
  <c r="X6" i="2"/>
  <c r="AA6" i="2"/>
  <c r="Z5" i="2"/>
  <c r="Y5" i="2"/>
  <c r="X5" i="2"/>
  <c r="AA5" i="2"/>
  <c r="Z4" i="2"/>
  <c r="Y4" i="2"/>
  <c r="X4" i="2"/>
  <c r="AA4" i="2"/>
  <c r="Z3" i="2"/>
  <c r="Y3" i="2"/>
  <c r="X3" i="2"/>
  <c r="AA3" i="2"/>
  <c r="Z2" i="2"/>
  <c r="Y2" i="2"/>
  <c r="X2" i="2"/>
  <c r="AA2" i="2"/>
  <c r="V11" i="2" l="1"/>
  <c r="L14" i="2"/>
  <c r="V9" i="2"/>
  <c r="K13" i="2"/>
  <c r="K12" i="2"/>
  <c r="K6" i="2"/>
  <c r="K7" i="2"/>
  <c r="L3" i="2"/>
  <c r="V8" i="2"/>
  <c r="V3" i="2"/>
  <c r="V7" i="2"/>
  <c r="V6" i="2"/>
  <c r="L4" i="2"/>
  <c r="V4" i="2"/>
  <c r="L12" i="2"/>
  <c r="K11" i="2"/>
  <c r="B16" i="2"/>
  <c r="L9" i="2"/>
  <c r="L16" i="2"/>
  <c r="V16" i="2"/>
  <c r="K16" i="2"/>
  <c r="C16" i="2"/>
  <c r="C15" i="2"/>
  <c r="U15" i="2" s="1"/>
  <c r="K15" i="2"/>
  <c r="L10" i="2"/>
  <c r="K4" i="2"/>
  <c r="K14" i="2"/>
  <c r="K3" i="2"/>
  <c r="K5" i="2"/>
  <c r="K8" i="2"/>
  <c r="L7" i="2"/>
  <c r="L6" i="2"/>
  <c r="L13" i="2"/>
  <c r="L8" i="2"/>
  <c r="V5" i="2"/>
  <c r="L11" i="2"/>
  <c r="V15" i="2"/>
  <c r="B15" i="2"/>
  <c r="V14" i="2"/>
  <c r="B14" i="2"/>
  <c r="B13" i="2"/>
  <c r="C14" i="2"/>
  <c r="U14" i="2" s="1"/>
  <c r="C13" i="2"/>
  <c r="C3" i="2"/>
  <c r="C12" i="2"/>
  <c r="C11" i="2"/>
  <c r="C9" i="2"/>
  <c r="C4" i="2"/>
  <c r="B3" i="2"/>
  <c r="B5" i="2"/>
  <c r="B6" i="2"/>
  <c r="T6" i="2" s="1"/>
  <c r="B4" i="2"/>
  <c r="B7" i="2"/>
  <c r="T7" i="2" s="1"/>
  <c r="B12" i="2"/>
  <c r="C10" i="2"/>
  <c r="C5" i="2"/>
  <c r="U5" i="2" s="1"/>
  <c r="C6" i="2"/>
  <c r="B10" i="2"/>
  <c r="T10" i="2" s="1"/>
  <c r="C7" i="2"/>
  <c r="B8" i="2"/>
  <c r="B11" i="2"/>
  <c r="C8" i="2"/>
  <c r="B9" i="2"/>
  <c r="T9" i="2" s="1"/>
  <c r="V12" i="2"/>
  <c r="U3" i="2" l="1"/>
  <c r="U8" i="2"/>
  <c r="U7" i="2"/>
  <c r="T8" i="2"/>
  <c r="U4" i="2"/>
  <c r="U6" i="2"/>
  <c r="U10" i="2"/>
  <c r="T11" i="2"/>
  <c r="T4" i="2"/>
  <c r="U13" i="2"/>
  <c r="T16" i="2"/>
  <c r="U16" i="2"/>
  <c r="U9" i="2"/>
  <c r="U11" i="2"/>
  <c r="T5" i="2"/>
  <c r="T3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<sst xmlns="http://schemas.openxmlformats.org/spreadsheetml/2006/main" count="72" uniqueCount="28">
  <si>
    <t>H22</t>
  </si>
  <si>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</si>
  <si>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</si>
  <si>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</si>
  <si>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</si>
  <si>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</si>
  <si>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</si>
  <si>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</si>
  <si>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</si>
  <si>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</si>
  <si>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</si>
  <si>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</si>
  <si>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</si>
  <si>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</si>
  <si>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</si>
  <si>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</si>
  <si>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B</t>
    <phoneticPr fontId="2" type="noConversion"/>
  </si>
  <si>
    <t>A</t>
    <phoneticPr fontId="2" type="noConversion"/>
  </si>
  <si>
    <t>第一</t>
  </si>
  <si>
    <t>上一</t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</si>
  <si>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</si>
  <si>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</si>
  <si>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</si>
  <si>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</si>
  <si>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</si>
  <si>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</si>
  <si>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比较</t>
    <phoneticPr fontId="2" type="noConversion"/>
  </si>
  <si>
    <t>H36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</si>
</sst>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177" fontId="1" fillId="0" borderId="0" xfId="0" applyNumberFormat="1" applyFont="1" applyAlignment="1">
      <alignment horizontal="left" vertical="center" wrapText="1"/>
    </xf>
    <xf numFmtId="177" fontId="6" fillId="0" borderId="0" xfId="0" applyNumberFormat="1" applyFont="1" applyAlignment="1">
      <alignment horizontal="left" vertical="center" wrapText="1"/>
    </xf>
    <xf numFmtId="177" fontId="1" fillId="0" borderId="2" xfId="0" applyNumberFormat="1" applyFont="1" applyBorder="1" applyAlignment="1">
      <alignment horizontal="left" vertical="center" wrapText="1"/>
    </xf>
    <xf numFmtId="177" fontId="4" fillId="0" borderId="0" xfId="0" applyNumberFormat="1" applyFont="1" applyAlignment="1">
      <alignment horizontal="left" vertical="center" wrapText="1"/>
    </xf>
    <xf numFmtId="177" fontId="7" fillId="0" borderId="0" xfId="0" applyNumberFormat="1" applyFont="1" applyAlignment="1">
      <alignment horizontal="left" vertical="center" wrapText="1"/>
    </xf>
    <xf numFmtId="177" fontId="0" fillId="0" borderId="0" xfId="0" applyNumberFormat="1" applyAlignment="1">
      <alignment horizontal="left" vertical="center" wrapText="1"/>
    </xf>
    <xf numFmtId="177" fontId="0" fillId="0" borderId="2" xfId="0" applyNumberFormat="1" applyBorder="1" applyAlignment="1">
      <alignment horizontal="left" vertical="center" wrapText="1"/>
    </xf>
    <xf numFmtId="177" fontId="5" fillId="0" borderId="0" xfId="0" applyNumberFormat="1" applyFont="1" applyAlignment="1">
      <alignment horizontal="left" vertical="center" wrapText="1"/>
    </xf>
    <xf numFmtId="177" fontId="3" fillId="0" borderId="2" xfId="0" applyNumberFormat="1" applyFont="1" applyBorder="1" applyAlignment="1">
      <alignment horizontal="left" vertical="center" wrapText="1"/>
    </xf>
    <xf numFmtId="177" fontId="3" fillId="0" borderId="0" xfId="0" applyNumberFormat="1" applyFont="1" applyAlignment="1">
      <alignment horizontal="left" vertical="center" wrapText="1"/>
    </xf>
    <xf numFmtId="177" fontId="0" fillId="0" borderId="0" xfId="0" applyNumberFormat="1" applyAlignment="1">
      <alignment horizontal="left" vertical="center"/>
    </xf>
    <xf numFmtId="177" fontId="0" fillId="0" borderId="2" xfId="0" applyNumberFormat="1" applyBorder="1" applyAlignment="1">
      <alignment horizontal="left" vertical="center"/>
    </xf>
    <xf numFmtId="177" fontId="1" fillId="0" borderId="1" xfId="0" applyNumberFormat="1" applyFont="1" applyBorder="1" applyAlignment="1">
      <alignment horizontal="left" vertical="center" wrapText="1"/>
    </xf>
    <xf numFmtId="177" fontId="6" fillId="0" borderId="1" xfId="0" applyNumberFormat="1" applyFont="1" applyBorder="1" applyAlignment="1">
      <alignment horizontal="left" vertical="center" wrapText="1"/>
    </xf>
    <xf numFmtId="177" fontId="0" fillId="0" borderId="1" xfId="0" applyNumberFormat="1" applyBorder="1" applyAlignment="1">
      <alignment horizontal="left" vertical="center"/>
    </xf>
    <xf numFmtId="177" fontId="0" fillId="0" borderId="1" xfId="0" applyNumberFormat="1" applyBorder="1" applyAlignment="1">
      <alignment horizontal="left" vertical="center" wrapText="1"/>
    </xf>
    <xf numFmtId="177" fontId="0" fillId="0" borderId="3" xfId="0" applyNumberFormat="1" applyBorder="1" applyAlignment="1">
      <alignment horizontal="left" vertical="center" wrapText="1"/>
    </xf>
    <xf numFmtId="177" fontId="0" fillId="0" borderId="4" xfId="0" applyNumberFormat="1" applyBorder="1" applyAlignment="1">
      <alignment horizontal="left" vertical="center" wrapText="1"/>
    </xf>
    <xf numFmtId="177" fontId="1" fillId="0" borderId="0" xfId="0" applyNumberFormat="1" applyFont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17"/>
  <sheetViews>
    <sheetView tabSelected="1" workbookViewId="0">
      <selection activeCell="J11" sqref="J11"/>
    </sheetView>
  </sheetViews>
  <sheetFormatPr defaultColWidth="7.625" defaultRowHeight="14.25" customHeight="1" x14ac:dyDescent="0.2"/>
  <cols>
    <col min="1" max="1" width="7.625" style="15"/>
    <col min="2" max="3" width="7.625" style="11"/>
    <col min="4" max="4" width="7.625" style="11" customWidth="1"/>
    <col min="5" max="8" width="7.625" style="11"/>
    <col min="9" max="9" width="7.625" style="12"/>
    <col min="10" max="10" width="7.625" style="15"/>
    <col min="11" max="17" width="7.625" style="11"/>
    <col min="18" max="18" width="7.625" style="12"/>
    <col min="19" max="19" width="7.625" style="15"/>
    <col min="20" max="26" width="7.625" style="11"/>
    <col min="27" max="27" width="7.625" style="12"/>
    <col min="28" max="28" width="7.625" style="15"/>
    <col min="29" max="16384" width="7.625" style="11"/>
  </cols>
  <sheetData>
    <row r="1" spans="1:27" ht="14.25" customHeight="1" x14ac:dyDescent="0.2">
      <c r="A1" s="13" t="s">
        <v>17</v>
      </c>
      <c r="B1" s="2" t="s">
        <v>18</v>
      </c>
      <c r="C1" s="2" t="s">
        <v>19</v>
      </c>
      <c r="D1" s="1" t="s">
        <v>20</v>
      </c>
      <c r="E1" s="2" t="s">
        <v>24</v>
      </c>
      <c r="F1" s="1" t="s">
        <v>11</v>
      </c>
      <c r="G1" s="1" t="s">
        <v>12</v>
      </c>
      <c r="H1" s="1" t="s">
        <v>13</v>
      </c>
      <c r="I1" s="3" t="s">
        <v>21</v>
      </c>
      <c r="J1" s="14" t="s">
        <v>16</v>
      </c>
      <c r="K1" s="2" t="s">
        <v>15</v>
      </c>
      <c r="L1" s="2" t="s">
        <v>14</v>
      </c>
      <c r="M1" s="1" t="s">
        <v>20</v>
      </c>
      <c r="N1" s="1" t="s">
        <v>24</v>
      </c>
      <c r="O1" s="1" t="s">
        <v>11</v>
      </c>
      <c r="P1" s="1" t="s">
        <v>12</v>
      </c>
      <c r="Q1" s="1" t="s">
        <v>13</v>
      </c>
      <c r="R1" s="3" t="s">
        <v>21</v>
      </c>
      <c r="S1" s="14" t="s">
        <v>26</v>
      </c>
      <c r="T1" s="2" t="s">
        <v>15</v>
      </c>
      <c r="U1" s="2" t="s">
        <v>14</v>
      </c>
      <c r="V1" s="1" t="s">
        <v>20</v>
      </c>
      <c r="W1" s="1" t="s">
        <v>24</v>
      </c>
      <c r="X1" s="1" t="s">
        <v>11</v>
      </c>
      <c r="Y1" s="1" t="s">
        <v>12</v>
      </c>
      <c r="Z1" s="1" t="s">
        <v>13</v>
      </c>
      <c r="AA1" s="3" t="s">
        <v>21</v>
      </c>
    </row>
    <row r="2" spans="1:27" ht="14.25" customHeight="1" x14ac:dyDescent="0.2">
      <c r="A2" s="16" t="s">
        <v>0</v>
      </c>
      <c r="B2" s="5">
        <v>1</v>
      </c>
      <c r="C2" s="5">
        <v>1</v>
      </c>
      <c r="D2" s="4">
        <f>SUM(F2:H2)</f>
        <v>1110.1949999999999</v>
      </c>
      <c r="E2" s="5">
        <v>369.21100000000001</v>
      </c>
      <c r="F2" s="6">
        <v>257.93099999999998</v>
      </c>
      <c r="G2" s="6">
        <v>205.797</v>
      </c>
      <c r="H2" s="6">
        <v>646.46699999999998</v>
      </c>
      <c r="I2" s="7">
        <v>1081.153</v>
      </c>
      <c r="J2" s="16" t="s">
        <v>0</v>
      </c>
      <c r="K2" s="5">
        <v>1</v>
      </c>
      <c r="L2" s="5">
        <v>1</v>
      </c>
      <c r="M2" s="4">
        <f>SUM(O2:Q2)</f>
        <v>32.097999999999999</v>
      </c>
      <c r="N2" s="5">
        <v>66.688000000000002</v>
      </c>
      <c r="O2" s="6">
        <v>4.835</v>
      </c>
      <c r="P2" s="6">
        <v>11.948</v>
      </c>
      <c r="Q2" s="6">
        <v>15.315</v>
      </c>
      <c r="R2" s="7">
        <v>26.135999999999999</v>
      </c>
      <c r="S2" s="16" t="s">
        <v>0</v>
      </c>
      <c r="T2" s="5">
        <f>ROUND(B2/K2,3)</f>
        <v>1</v>
      </c>
      <c r="U2" s="5">
        <f>ROUND(C2/L2,3)</f>
        <v>1</v>
      </c>
      <c r="V2" s="4">
        <f>ROUND(D2/M2,3)</f>
        <v>34.588000000000001</v>
      </c>
      <c r="W2" s="5">
        <f>ROUND(E2/N2,3)</f>
        <v>5.5359999999999996</v>
      </c>
      <c r="X2" s="6">
        <f>ROUND(F2/O2,3)</f>
        <v>53.347000000000001</v>
      </c>
      <c r="Y2" s="6">
        <f>ROUND(G2/P2,3)</f>
        <v>17.224</v>
      </c>
      <c r="Z2" s="6">
        <f>ROUND(H2/Q2,3)</f>
        <v>42.210999999999999</v>
      </c>
      <c r="AA2" s="7">
        <f>ROUND(I2/R2,3)</f>
        <v>41.366</v>
      </c>
    </row>
    <row r="3" spans="1:27" ht="14.25" customHeight="1" x14ac:dyDescent="0.2">
      <c r="A3" s="16" t="s">
        <v>1</v>
      </c>
      <c r="B3" s="2">
        <f>D$2/D3</f>
        <v>1.5594422391342821</v>
      </c>
      <c r="C3" s="2">
        <f>D2/D3</f>
        <v>1.5594422391342821</v>
      </c>
      <c r="D3" s="8">
        <f t="shared" ref="D3:D16" si="0">SUM(F3:H3)</f>
        <v>711.91800000000001</v>
      </c>
      <c r="E3" s="5">
        <v>376.32499999999999</v>
      </c>
      <c r="F3" s="6">
        <v>264.76499999999999</v>
      </c>
      <c r="G3" s="6">
        <v>439.76499999999999</v>
      </c>
      <c r="H3" s="1">
        <v>7.3879999999999999</v>
      </c>
      <c r="I3" s="9">
        <v>1124.867</v>
      </c>
      <c r="J3" s="16" t="s">
        <v>1</v>
      </c>
      <c r="K3" s="2">
        <f>M$2/M3</f>
        <v>1.8711670747347557</v>
      </c>
      <c r="L3" s="2">
        <f>M2/M3</f>
        <v>1.8711670747347557</v>
      </c>
      <c r="M3" s="8">
        <f t="shared" ref="M3:M16" si="1">SUM(O3:Q3)</f>
        <v>17.154</v>
      </c>
      <c r="N3" s="5">
        <v>65.647999999999996</v>
      </c>
      <c r="O3" s="6">
        <v>4.7640000000000002</v>
      </c>
      <c r="P3" s="6">
        <v>11.94</v>
      </c>
      <c r="Q3" s="1">
        <v>0.45</v>
      </c>
      <c r="R3" s="9">
        <v>25.870999999999999</v>
      </c>
      <c r="S3" s="16" t="s">
        <v>1</v>
      </c>
      <c r="T3" s="2">
        <f>ROUND(B3/K3,3)</f>
        <v>0.83299999999999996</v>
      </c>
      <c r="U3" s="2">
        <f>ROUND(C3/L3,3)</f>
        <v>0.83299999999999996</v>
      </c>
      <c r="V3" s="8">
        <f>ROUND(D3/M3,3)</f>
        <v>41.502000000000002</v>
      </c>
      <c r="W3" s="5">
        <f>ROUND(E3/N3,3)</f>
        <v>5.7320000000000002</v>
      </c>
      <c r="X3" s="6">
        <f>ROUND(F3/O3,3)</f>
        <v>55.576000000000001</v>
      </c>
      <c r="Y3" s="6">
        <f>ROUND(G3/P3,3)</f>
        <v>36.831000000000003</v>
      </c>
      <c r="Z3" s="1">
        <f>ROUND(H3/Q3,3)</f>
        <v>16.417999999999999</v>
      </c>
      <c r="AA3" s="9">
        <f>ROUND(I3/R3,3)</f>
        <v>43.48</v>
      </c>
    </row>
    <row r="4" spans="1:27" ht="14.25" customHeight="1" x14ac:dyDescent="0.2">
      <c r="A4" s="16" t="s">
        <v>2</v>
      </c>
      <c r="B4" s="2">
        <f t="shared" ref="B4:B12" si="2">D$2/D4</f>
        <v>2.0688122631066981</v>
      </c>
      <c r="C4" s="2">
        <f t="shared" ref="C4:C12" si="3">D3/D4</f>
        <v>1.3266360312615302</v>
      </c>
      <c r="D4" s="8">
        <f t="shared" si="0"/>
        <v>536.63400000000001</v>
      </c>
      <c r="E4" s="5">
        <v>366.06299999999999</v>
      </c>
      <c r="F4" s="1">
        <v>106.236</v>
      </c>
      <c r="G4" s="6">
        <v>422.755</v>
      </c>
      <c r="H4" s="6">
        <v>7.6429999999999998</v>
      </c>
      <c r="I4" s="7">
        <v>1082.0139999999999</v>
      </c>
      <c r="J4" s="16" t="s">
        <v>2</v>
      </c>
      <c r="K4" s="2">
        <f t="shared" ref="K4:K12" si="4">M$2/M4</f>
        <v>1.9399250574156897</v>
      </c>
      <c r="L4" s="2">
        <f t="shared" ref="L4:L12" si="5">M3/M4</f>
        <v>1.0367460413392966</v>
      </c>
      <c r="M4" s="8">
        <f t="shared" si="1"/>
        <v>16.545999999999999</v>
      </c>
      <c r="N4" s="5">
        <v>65.464000000000013</v>
      </c>
      <c r="O4" s="1">
        <v>3.714</v>
      </c>
      <c r="P4" s="6">
        <v>12.343</v>
      </c>
      <c r="Q4" s="6">
        <v>0.48899999999999999</v>
      </c>
      <c r="R4" s="7">
        <v>27.152999999999999</v>
      </c>
      <c r="S4" s="16" t="s">
        <v>2</v>
      </c>
      <c r="T4" s="2">
        <f>ROUND(B4/K4,3)</f>
        <v>1.0660000000000001</v>
      </c>
      <c r="U4" s="2">
        <f>ROUND(C4/L4,3)</f>
        <v>1.28</v>
      </c>
      <c r="V4" s="8">
        <f>ROUND(D4/M4,3)</f>
        <v>32.433</v>
      </c>
      <c r="W4" s="5">
        <f>ROUND(E4/N4,3)</f>
        <v>5.5919999999999996</v>
      </c>
      <c r="X4" s="1">
        <f>ROUND(F4/O4,3)</f>
        <v>28.603999999999999</v>
      </c>
      <c r="Y4" s="6">
        <f>ROUND(G4/P4,3)</f>
        <v>34.250999999999998</v>
      </c>
      <c r="Z4" s="6">
        <f>ROUND(H4/Q4,3)</f>
        <v>15.63</v>
      </c>
      <c r="AA4" s="7">
        <f>ROUND(I4/R4,3)</f>
        <v>39.848999999999997</v>
      </c>
    </row>
    <row r="5" spans="1:27" ht="14.25" customHeight="1" x14ac:dyDescent="0.2">
      <c r="A5" s="16" t="s">
        <v>3</v>
      </c>
      <c r="B5" s="2">
        <f t="shared" si="2"/>
        <v>3.7036005350929577</v>
      </c>
      <c r="C5" s="2">
        <f t="shared" si="3"/>
        <v>1.7902061976040915</v>
      </c>
      <c r="D5" s="8">
        <f t="shared" si="0"/>
        <v>299.76099999999997</v>
      </c>
      <c r="E5" s="5">
        <v>376.71799999999996</v>
      </c>
      <c r="F5" s="6">
        <v>109.84399999999999</v>
      </c>
      <c r="G5" s="1">
        <v>182.58099999999999</v>
      </c>
      <c r="H5" s="6">
        <v>7.3360000000000003</v>
      </c>
      <c r="I5" s="7">
        <v>946.61900000000003</v>
      </c>
      <c r="J5" s="16" t="s">
        <v>3</v>
      </c>
      <c r="K5" s="2">
        <f t="shared" si="4"/>
        <v>3.5137383689107828</v>
      </c>
      <c r="L5" s="2">
        <f t="shared" si="5"/>
        <v>1.8112753147235905</v>
      </c>
      <c r="M5" s="8">
        <f t="shared" si="1"/>
        <v>9.1349999999999998</v>
      </c>
      <c r="N5" s="5">
        <v>68.033000000000001</v>
      </c>
      <c r="O5" s="6">
        <v>3.7240000000000002</v>
      </c>
      <c r="P5" s="1">
        <v>4.9530000000000003</v>
      </c>
      <c r="Q5" s="6">
        <v>0.45800000000000002</v>
      </c>
      <c r="R5" s="7">
        <v>27.033999999999999</v>
      </c>
      <c r="S5" s="16" t="s">
        <v>3</v>
      </c>
      <c r="T5" s="2">
        <f>ROUND(B5/K5,3)</f>
        <v>1.054</v>
      </c>
      <c r="U5" s="2">
        <f>ROUND(C5/L5,3)</f>
        <v>0.98799999999999999</v>
      </c>
      <c r="V5" s="8">
        <f>ROUND(D5/M5,3)</f>
        <v>32.814999999999998</v>
      </c>
      <c r="W5" s="5">
        <f>ROUND(E5/N5,3)</f>
        <v>5.5369999999999999</v>
      </c>
      <c r="X5" s="6">
        <f>ROUND(F5/O5,3)</f>
        <v>29.495999999999999</v>
      </c>
      <c r="Y5" s="1">
        <f>ROUND(G5/P5,3)</f>
        <v>36.863</v>
      </c>
      <c r="Z5" s="6">
        <f>ROUND(H5/Q5,3)</f>
        <v>16.016999999999999</v>
      </c>
      <c r="AA5" s="7">
        <f>ROUND(I5/R5,3)</f>
        <v>35.015999999999998</v>
      </c>
    </row>
    <row r="6" spans="1:27" ht="14.25" customHeight="1" x14ac:dyDescent="0.2">
      <c r="A6" s="16" t="s">
        <v>4</v>
      </c>
      <c r="B6" s="5">
        <f t="shared" si="2"/>
        <v>3.7416964096134593</v>
      </c>
      <c r="C6" s="5">
        <f t="shared" si="3"/>
        <v>1.0102861726472738</v>
      </c>
      <c r="D6" s="4">
        <f t="shared" si="0"/>
        <v>296.709</v>
      </c>
      <c r="E6" s="5">
        <v>378.40699999999998</v>
      </c>
      <c r="F6" s="6">
        <v>106.133</v>
      </c>
      <c r="G6" s="6">
        <v>183.876</v>
      </c>
      <c r="H6" s="10">
        <v>6.7</v>
      </c>
      <c r="I6" s="3">
        <v>155.20400000000001</v>
      </c>
      <c r="J6" s="16" t="s">
        <v>4</v>
      </c>
      <c r="K6" s="5">
        <f t="shared" si="4"/>
        <v>3.5620907779380753</v>
      </c>
      <c r="L6" s="5">
        <f t="shared" si="5"/>
        <v>1.0137609588280989</v>
      </c>
      <c r="M6" s="4">
        <f t="shared" si="1"/>
        <v>9.011000000000001</v>
      </c>
      <c r="N6" s="5">
        <v>66.353999999999999</v>
      </c>
      <c r="O6" s="6">
        <v>3.64</v>
      </c>
      <c r="P6" s="6">
        <v>4.8940000000000001</v>
      </c>
      <c r="Q6" s="10">
        <v>0.47699999999999998</v>
      </c>
      <c r="R6" s="3">
        <v>4.4000000000000004</v>
      </c>
      <c r="S6" s="16" t="s">
        <v>4</v>
      </c>
      <c r="T6" s="5">
        <f>ROUND(B6/K6,3)</f>
        <v>1.05</v>
      </c>
      <c r="U6" s="5">
        <f>ROUND(C6/L6,3)</f>
        <v>0.997</v>
      </c>
      <c r="V6" s="4">
        <f>ROUND(D6/M6,3)</f>
        <v>32.927</v>
      </c>
      <c r="W6" s="5">
        <f>ROUND(E6/N6,3)</f>
        <v>5.7030000000000003</v>
      </c>
      <c r="X6" s="6">
        <f>ROUND(F6/O6,3)</f>
        <v>29.157</v>
      </c>
      <c r="Y6" s="6">
        <f>ROUND(G6/P6,3)</f>
        <v>37.572000000000003</v>
      </c>
      <c r="Z6" s="10">
        <f>ROUND(H6/Q6,3)</f>
        <v>14.045999999999999</v>
      </c>
      <c r="AA6" s="3">
        <f>ROUND(I6/R6,3)</f>
        <v>35.274000000000001</v>
      </c>
    </row>
    <row r="7" spans="1:27" ht="14.25" customHeight="1" x14ac:dyDescent="0.2">
      <c r="A7" s="16" t="s">
        <v>5</v>
      </c>
      <c r="B7" s="5">
        <f t="shared" si="2"/>
        <v>3.6921457576049832</v>
      </c>
      <c r="C7" s="5">
        <f t="shared" si="3"/>
        <v>0.98675716931999968</v>
      </c>
      <c r="D7" s="4">
        <f t="shared" si="0"/>
        <v>300.69099999999997</v>
      </c>
      <c r="E7" s="5">
        <v>369.14400000000001</v>
      </c>
      <c r="F7" s="6">
        <v>115.97799999999999</v>
      </c>
      <c r="G7" s="6">
        <v>181.94800000000001</v>
      </c>
      <c r="H7" s="1">
        <v>2.7650000000000001</v>
      </c>
      <c r="I7" s="7">
        <v>155.75899999999999</v>
      </c>
      <c r="J7" s="16" t="s">
        <v>5</v>
      </c>
      <c r="K7" s="5">
        <f t="shared" si="4"/>
        <v>3.7051829620223939</v>
      </c>
      <c r="L7" s="5">
        <f t="shared" si="5"/>
        <v>1.0401708415098696</v>
      </c>
      <c r="M7" s="4">
        <f t="shared" si="1"/>
        <v>8.6630000000000003</v>
      </c>
      <c r="N7" s="5">
        <v>76.664000000000001</v>
      </c>
      <c r="O7" s="6">
        <v>3.54</v>
      </c>
      <c r="P7" s="6">
        <v>4.9160000000000004</v>
      </c>
      <c r="Q7" s="1">
        <v>0.20699999999999999</v>
      </c>
      <c r="R7" s="7">
        <v>4.4710000000000001</v>
      </c>
      <c r="S7" s="16" t="s">
        <v>5</v>
      </c>
      <c r="T7" s="5">
        <f>ROUND(B7/K7,3)</f>
        <v>0.996</v>
      </c>
      <c r="U7" s="5">
        <f>ROUND(C7/L7,3)</f>
        <v>0.94899999999999995</v>
      </c>
      <c r="V7" s="4">
        <f>ROUND(D7/M7,3)</f>
        <v>34.71</v>
      </c>
      <c r="W7" s="5">
        <f>ROUND(E7/N7,3)</f>
        <v>4.8150000000000004</v>
      </c>
      <c r="X7" s="6">
        <f>ROUND(F7/O7,3)</f>
        <v>32.762</v>
      </c>
      <c r="Y7" s="6">
        <f>ROUND(G7/P7,3)</f>
        <v>37.011000000000003</v>
      </c>
      <c r="Z7" s="1">
        <f>ROUND(H7/Q7,3)</f>
        <v>13.356999999999999</v>
      </c>
      <c r="AA7" s="7">
        <f>ROUND(I7/R7,3)</f>
        <v>34.838000000000001</v>
      </c>
    </row>
    <row r="8" spans="1:27" ht="14.25" customHeight="1" x14ac:dyDescent="0.2">
      <c r="A8" s="16" t="s">
        <v>6</v>
      </c>
      <c r="B8" s="5">
        <f t="shared" si="2"/>
        <v>3.6069416557827632</v>
      </c>
      <c r="C8" s="5">
        <f t="shared" si="3"/>
        <v>0.97692287698915492</v>
      </c>
      <c r="D8" s="4">
        <f t="shared" si="0"/>
        <v>307.79400000000004</v>
      </c>
      <c r="E8" s="5">
        <v>474.36200000000002</v>
      </c>
      <c r="F8" s="6">
        <v>117.661</v>
      </c>
      <c r="G8" s="6">
        <v>187.90100000000001</v>
      </c>
      <c r="H8" s="6">
        <v>2.2320000000000002</v>
      </c>
      <c r="I8" s="7">
        <v>158.601</v>
      </c>
      <c r="J8" s="16" t="s">
        <v>6</v>
      </c>
      <c r="K8" s="5">
        <f t="shared" si="4"/>
        <v>3.6654105287198813</v>
      </c>
      <c r="L8" s="5">
        <f t="shared" si="5"/>
        <v>0.98926573027292464</v>
      </c>
      <c r="M8" s="4">
        <f t="shared" si="1"/>
        <v>8.7569999999999997</v>
      </c>
      <c r="N8" s="5">
        <v>88.951999999999998</v>
      </c>
      <c r="O8" s="6">
        <v>3.6080000000000001</v>
      </c>
      <c r="P8" s="6">
        <v>4.9589999999999996</v>
      </c>
      <c r="Q8" s="6">
        <v>0.19</v>
      </c>
      <c r="R8" s="7">
        <v>4.4660000000000002</v>
      </c>
      <c r="S8" s="16" t="s">
        <v>6</v>
      </c>
      <c r="T8" s="5">
        <f>ROUND(B8/K8,3)</f>
        <v>0.98399999999999999</v>
      </c>
      <c r="U8" s="5">
        <f>ROUND(C8/L8,3)</f>
        <v>0.98799999999999999</v>
      </c>
      <c r="V8" s="4">
        <f>ROUND(D8/M8,3)</f>
        <v>35.148000000000003</v>
      </c>
      <c r="W8" s="5">
        <f>ROUND(E8/N8,3)</f>
        <v>5.3330000000000002</v>
      </c>
      <c r="X8" s="6">
        <f>ROUND(F8/O8,3)</f>
        <v>32.610999999999997</v>
      </c>
      <c r="Y8" s="6">
        <f>ROUND(G8/P8,3)</f>
        <v>37.890999999999998</v>
      </c>
      <c r="Z8" s="6">
        <f>ROUND(H8/Q8,3)</f>
        <v>11.747</v>
      </c>
      <c r="AA8" s="7">
        <f>ROUND(I8/R8,3)</f>
        <v>35.512999999999998</v>
      </c>
    </row>
    <row r="9" spans="1:27" ht="14.25" customHeight="1" x14ac:dyDescent="0.2">
      <c r="A9" s="16" t="s">
        <v>7</v>
      </c>
      <c r="B9" s="5">
        <f t="shared" si="2"/>
        <v>3.6616292377563102</v>
      </c>
      <c r="C9" s="5">
        <f t="shared" si="3"/>
        <v>1.0151617595160902</v>
      </c>
      <c r="D9" s="4">
        <f t="shared" si="0"/>
        <v>303.197</v>
      </c>
      <c r="E9" s="5">
        <v>484.762</v>
      </c>
      <c r="F9" s="6">
        <v>114.488</v>
      </c>
      <c r="G9" s="6">
        <v>186.03100000000001</v>
      </c>
      <c r="H9" s="6">
        <v>2.6779999999999999</v>
      </c>
      <c r="I9" s="7">
        <v>159.75899999999999</v>
      </c>
      <c r="J9" s="16" t="s">
        <v>7</v>
      </c>
      <c r="K9" s="5">
        <f t="shared" si="4"/>
        <v>3.7245300533766534</v>
      </c>
      <c r="L9" s="5">
        <f t="shared" si="5"/>
        <v>1.0161290322580645</v>
      </c>
      <c r="M9" s="4">
        <f t="shared" si="1"/>
        <v>8.6180000000000003</v>
      </c>
      <c r="N9" s="5">
        <v>91.009</v>
      </c>
      <c r="O9" s="6">
        <v>3.55</v>
      </c>
      <c r="P9" s="6">
        <v>4.8780000000000001</v>
      </c>
      <c r="Q9" s="6">
        <v>0.19</v>
      </c>
      <c r="R9" s="7">
        <v>4.42</v>
      </c>
      <c r="S9" s="16" t="s">
        <v>7</v>
      </c>
      <c r="T9" s="5">
        <f>ROUND(B9/K9,3)</f>
        <v>0.98299999999999998</v>
      </c>
      <c r="U9" s="5">
        <f>ROUND(C9/L9,3)</f>
        <v>0.999</v>
      </c>
      <c r="V9" s="4">
        <f>ROUND(D9/M9,3)</f>
        <v>35.182000000000002</v>
      </c>
      <c r="W9" s="5">
        <f>ROUND(E9/N9,3)</f>
        <v>5.327</v>
      </c>
      <c r="X9" s="6">
        <f>ROUND(F9/O9,3)</f>
        <v>32.25</v>
      </c>
      <c r="Y9" s="6">
        <f>ROUND(G9/P9,3)</f>
        <v>38.137</v>
      </c>
      <c r="Z9" s="6">
        <f>ROUND(H9/Q9,3)</f>
        <v>14.095000000000001</v>
      </c>
      <c r="AA9" s="7">
        <f>ROUND(I9/R9,3)</f>
        <v>36.145000000000003</v>
      </c>
    </row>
    <row r="10" spans="1:27" ht="14.25" customHeight="1" x14ac:dyDescent="0.2">
      <c r="A10" s="16" t="s">
        <v>8</v>
      </c>
      <c r="B10" s="5">
        <f t="shared" si="2"/>
        <v>3.6123638280426387</v>
      </c>
      <c r="C10" s="5">
        <f t="shared" si="3"/>
        <v>0.98654549477438103</v>
      </c>
      <c r="D10" s="4">
        <f t="shared" si="0"/>
        <v>307.33199999999994</v>
      </c>
      <c r="E10" s="2">
        <v>247.297</v>
      </c>
      <c r="F10" s="6">
        <v>120.297</v>
      </c>
      <c r="G10" s="6">
        <v>184.65199999999999</v>
      </c>
      <c r="H10" s="10">
        <v>2.383</v>
      </c>
      <c r="I10" s="7">
        <v>157.55099999999999</v>
      </c>
      <c r="J10" s="16" t="s">
        <v>8</v>
      </c>
      <c r="K10" s="5">
        <f t="shared" si="4"/>
        <v>3.6750629722921921</v>
      </c>
      <c r="L10" s="5">
        <f t="shared" si="5"/>
        <v>0.9867185711014429</v>
      </c>
      <c r="M10" s="4">
        <f t="shared" si="1"/>
        <v>8.7339999999999982</v>
      </c>
      <c r="N10" s="2">
        <v>74.891999999999996</v>
      </c>
      <c r="O10" s="6">
        <v>3.5640000000000001</v>
      </c>
      <c r="P10" s="6">
        <v>4.9729999999999999</v>
      </c>
      <c r="Q10" s="10">
        <v>0.19700000000000001</v>
      </c>
      <c r="R10" s="7">
        <v>4.468</v>
      </c>
      <c r="S10" s="16" t="s">
        <v>8</v>
      </c>
      <c r="T10" s="5">
        <f>ROUND(B10/K10,3)</f>
        <v>0.98299999999999998</v>
      </c>
      <c r="U10" s="5">
        <f>ROUND(C10/L10,3)</f>
        <v>1</v>
      </c>
      <c r="V10" s="4">
        <f>ROUND(D10/M10,3)</f>
        <v>35.188000000000002</v>
      </c>
      <c r="W10" s="2">
        <f>ROUND(E10/N10,3)</f>
        <v>3.302</v>
      </c>
      <c r="X10" s="6">
        <f>ROUND(F10/O10,3)</f>
        <v>33.753</v>
      </c>
      <c r="Y10" s="6">
        <f>ROUND(G10/P10,3)</f>
        <v>37.131</v>
      </c>
      <c r="Z10" s="10">
        <f>ROUND(H10/Q10,3)</f>
        <v>12.096</v>
      </c>
      <c r="AA10" s="7">
        <f>ROUND(I10/R10,3)</f>
        <v>35.262</v>
      </c>
    </row>
    <row r="11" spans="1:27" ht="14.25" customHeight="1" x14ac:dyDescent="0.2">
      <c r="A11" s="16" t="s">
        <v>9</v>
      </c>
      <c r="B11" s="2">
        <f t="shared" si="2"/>
        <v>4.6453617306163437</v>
      </c>
      <c r="C11" s="2">
        <f t="shared" si="3"/>
        <v>1.2859617557219964</v>
      </c>
      <c r="D11" s="8">
        <f t="shared" si="0"/>
        <v>238.99</v>
      </c>
      <c r="E11" s="5">
        <v>212.548</v>
      </c>
      <c r="F11" s="1">
        <v>48.052999999999997</v>
      </c>
      <c r="G11" s="6">
        <v>188.84100000000001</v>
      </c>
      <c r="H11" s="6">
        <v>2.0960000000000001</v>
      </c>
      <c r="I11" s="9">
        <v>162.86699999999999</v>
      </c>
      <c r="J11" s="16" t="s">
        <v>9</v>
      </c>
      <c r="K11" s="2">
        <f t="shared" si="4"/>
        <v>4.0344394167923578</v>
      </c>
      <c r="L11" s="2">
        <f t="shared" si="5"/>
        <v>1.0977878330819506</v>
      </c>
      <c r="M11" s="8">
        <f t="shared" si="1"/>
        <v>7.9559999999999995</v>
      </c>
      <c r="N11" s="5">
        <v>73.527000000000001</v>
      </c>
      <c r="O11" s="1">
        <v>1.41</v>
      </c>
      <c r="P11" s="6">
        <v>6.3529999999999998</v>
      </c>
      <c r="Q11" s="6">
        <v>0.193</v>
      </c>
      <c r="R11" s="9">
        <v>5.8819999999999997</v>
      </c>
      <c r="S11" s="16" t="s">
        <v>9</v>
      </c>
      <c r="T11" s="2">
        <f>ROUND(B11/K11,3)</f>
        <v>1.151</v>
      </c>
      <c r="U11" s="2">
        <f>ROUND(C11/L11,3)</f>
        <v>1.171</v>
      </c>
      <c r="V11" s="8">
        <f>ROUND(D11/M11,3)</f>
        <v>30.039000000000001</v>
      </c>
      <c r="W11" s="5">
        <f>ROUND(E11/N11,3)</f>
        <v>2.891</v>
      </c>
      <c r="X11" s="1">
        <f>ROUND(F11/O11,3)</f>
        <v>34.08</v>
      </c>
      <c r="Y11" s="6">
        <f>ROUND(G11/P11,3)</f>
        <v>29.725000000000001</v>
      </c>
      <c r="Z11" s="6">
        <f>ROUND(H11/Q11,3)</f>
        <v>10.86</v>
      </c>
      <c r="AA11" s="9">
        <f>ROUND(I11/R11,3)</f>
        <v>27.689</v>
      </c>
    </row>
    <row r="12" spans="1:27" ht="14.25" customHeight="1" x14ac:dyDescent="0.2">
      <c r="A12" s="16" t="s">
        <v>10</v>
      </c>
      <c r="B12" s="2">
        <f t="shared" si="2"/>
        <v>5.2597181096766548</v>
      </c>
      <c r="C12" s="2">
        <f t="shared" si="3"/>
        <v>1.1322515693473885</v>
      </c>
      <c r="D12" s="8">
        <f t="shared" si="0"/>
        <v>211.07499999999999</v>
      </c>
      <c r="E12" s="5">
        <v>216.54</v>
      </c>
      <c r="F12" s="10">
        <v>46.692999999999998</v>
      </c>
      <c r="G12" s="1">
        <v>161.774</v>
      </c>
      <c r="H12" s="6">
        <v>2.6080000000000001</v>
      </c>
      <c r="I12" s="3">
        <v>135.74</v>
      </c>
      <c r="J12" s="16" t="s">
        <v>10</v>
      </c>
      <c r="K12" s="2">
        <f t="shared" si="4"/>
        <v>5.1046437659033073</v>
      </c>
      <c r="L12" s="2">
        <f t="shared" si="5"/>
        <v>1.2652671755725189</v>
      </c>
      <c r="M12" s="8">
        <f t="shared" si="1"/>
        <v>6.2880000000000003</v>
      </c>
      <c r="N12" s="5">
        <v>73.069999999999993</v>
      </c>
      <c r="O12" s="10">
        <v>1.359</v>
      </c>
      <c r="P12" s="1">
        <v>4.7460000000000004</v>
      </c>
      <c r="Q12" s="6">
        <v>0.183</v>
      </c>
      <c r="R12" s="3">
        <v>3.9609999999999999</v>
      </c>
      <c r="S12" s="16" t="s">
        <v>10</v>
      </c>
      <c r="T12" s="2">
        <f>ROUND(B12/K12,3)</f>
        <v>1.03</v>
      </c>
      <c r="U12" s="2">
        <f>ROUND(C12/L12,3)</f>
        <v>0.89500000000000002</v>
      </c>
      <c r="V12" s="8">
        <f>ROUND(D12/M12,3)</f>
        <v>33.567999999999998</v>
      </c>
      <c r="W12" s="5">
        <f>ROUND(E12/N12,3)</f>
        <v>2.9630000000000001</v>
      </c>
      <c r="X12" s="10">
        <f>ROUND(F12/O12,3)</f>
        <v>34.357999999999997</v>
      </c>
      <c r="Y12" s="1">
        <f>ROUND(G12/P12,3)</f>
        <v>34.085999999999999</v>
      </c>
      <c r="Z12" s="6">
        <f>ROUND(H12/Q12,3)</f>
        <v>14.250999999999999</v>
      </c>
      <c r="AA12" s="3">
        <f>ROUND(I12/R12,3)</f>
        <v>34.268999999999998</v>
      </c>
    </row>
    <row r="13" spans="1:27" ht="14.25" customHeight="1" x14ac:dyDescent="0.2">
      <c r="A13" s="17" t="s">
        <v>22</v>
      </c>
      <c r="B13" s="2">
        <f t="shared" ref="B13:B14" si="6">D$2/D13</f>
        <v>5.7513819023887356</v>
      </c>
      <c r="C13" s="2">
        <f t="shared" ref="C13:C14" si="7">D12/D13</f>
        <v>1.0934772135045667</v>
      </c>
      <c r="D13" s="8">
        <f t="shared" si="0"/>
        <v>193.03099999999998</v>
      </c>
      <c r="E13" s="5">
        <v>208.959</v>
      </c>
      <c r="F13" s="1">
        <v>28.623999999999999</v>
      </c>
      <c r="G13" s="10">
        <v>161.77099999999999</v>
      </c>
      <c r="H13" s="6">
        <v>2.6360000000000001</v>
      </c>
      <c r="I13" s="9">
        <v>136.84</v>
      </c>
      <c r="J13" s="17" t="s">
        <v>22</v>
      </c>
      <c r="K13" s="2">
        <f t="shared" ref="K13:K14" si="8">M$2/M13</f>
        <v>5.5360469127285263</v>
      </c>
      <c r="L13" s="2">
        <f t="shared" ref="L13:L14" si="9">M12/M13</f>
        <v>1.0845119006553983</v>
      </c>
      <c r="M13" s="8">
        <f t="shared" si="1"/>
        <v>5.7980000000000009</v>
      </c>
      <c r="N13" s="5">
        <v>74.635999999999996</v>
      </c>
      <c r="O13" s="1">
        <v>0.86799999999999999</v>
      </c>
      <c r="P13" s="10">
        <v>4.7380000000000004</v>
      </c>
      <c r="Q13" s="6">
        <v>0.192</v>
      </c>
      <c r="R13" s="9">
        <v>3.9350000000000001</v>
      </c>
      <c r="S13" s="17" t="s">
        <v>22</v>
      </c>
      <c r="T13" s="2">
        <f>ROUND(B13/K13,3)</f>
        <v>1.0389999999999999</v>
      </c>
      <c r="U13" s="2">
        <f>ROUND(C13/L13,3)</f>
        <v>1.008</v>
      </c>
      <c r="V13" s="8">
        <f>ROUND(D13/M13,3)</f>
        <v>33.292999999999999</v>
      </c>
      <c r="W13" s="5">
        <f>ROUND(E13/N13,3)</f>
        <v>2.8</v>
      </c>
      <c r="X13" s="1">
        <f>ROUND(F13/O13,3)</f>
        <v>32.976999999999997</v>
      </c>
      <c r="Y13" s="10">
        <f>ROUND(G13/P13,3)</f>
        <v>34.143000000000001</v>
      </c>
      <c r="Z13" s="6">
        <f>ROUND(H13/Q13,3)</f>
        <v>13.728999999999999</v>
      </c>
      <c r="AA13" s="9">
        <f>ROUND(I13/R13,3)</f>
        <v>34.774999999999999</v>
      </c>
    </row>
    <row r="14" spans="1:27" ht="14.25" customHeight="1" x14ac:dyDescent="0.2">
      <c r="A14" s="18" t="s">
        <v>23</v>
      </c>
      <c r="B14" s="5">
        <f t="shared" si="6"/>
        <v>5.6105591380460487</v>
      </c>
      <c r="C14" s="5">
        <f t="shared" si="7"/>
        <v>0.97551496897046619</v>
      </c>
      <c r="D14" s="4">
        <f t="shared" si="0"/>
        <v>197.876</v>
      </c>
      <c r="E14" s="5">
        <v>208.315</v>
      </c>
      <c r="F14" s="1">
        <v>27.504000000000001</v>
      </c>
      <c r="G14" s="10">
        <v>168.22900000000001</v>
      </c>
      <c r="H14" s="6">
        <v>2.1429999999999998</v>
      </c>
      <c r="I14" s="9">
        <v>135.52000000000001</v>
      </c>
      <c r="J14" s="18" t="s">
        <v>23</v>
      </c>
      <c r="K14" s="5">
        <f t="shared" si="8"/>
        <v>5.5513663092355587</v>
      </c>
      <c r="L14" s="5">
        <f t="shared" si="9"/>
        <v>1.0027672085783468</v>
      </c>
      <c r="M14" s="4">
        <f t="shared" si="1"/>
        <v>5.782</v>
      </c>
      <c r="N14" s="5">
        <v>74.734999999999999</v>
      </c>
      <c r="O14" s="1">
        <v>0.84899999999999998</v>
      </c>
      <c r="P14" s="10">
        <v>4.7370000000000001</v>
      </c>
      <c r="Q14" s="6">
        <v>0.19600000000000001</v>
      </c>
      <c r="R14" s="9">
        <v>3.9279999999999999</v>
      </c>
      <c r="S14" s="18" t="s">
        <v>23</v>
      </c>
      <c r="T14" s="5">
        <f>ROUND(B14/K14,3)</f>
        <v>1.0109999999999999</v>
      </c>
      <c r="U14" s="5">
        <f>ROUND(C14/L14,3)</f>
        <v>0.97299999999999998</v>
      </c>
      <c r="V14" s="4">
        <f>ROUND(D14/M14,3)</f>
        <v>34.222999999999999</v>
      </c>
      <c r="W14" s="5">
        <f>ROUND(E14/N14,3)</f>
        <v>2.7869999999999999</v>
      </c>
      <c r="X14" s="1">
        <f>ROUND(F14/O14,3)</f>
        <v>32.396000000000001</v>
      </c>
      <c r="Y14" s="10">
        <f>ROUND(G14/P14,3)</f>
        <v>35.514000000000003</v>
      </c>
      <c r="Z14" s="6">
        <f>ROUND(H14/Q14,3)</f>
        <v>10.933999999999999</v>
      </c>
      <c r="AA14" s="9">
        <f>ROUND(I14/R14,3)</f>
        <v>34.500999999999998</v>
      </c>
    </row>
    <row r="15" spans="1:27" ht="14.25" customHeight="1" x14ac:dyDescent="0.2">
      <c r="A15" s="18" t="s">
        <v>25</v>
      </c>
      <c r="B15" s="2">
        <f t="shared" ref="B15" si="10">D$2/D15</f>
        <v>8.1359788941409263</v>
      </c>
      <c r="C15" s="2">
        <f t="shared" ref="C15" si="11">D14/D15</f>
        <v>1.4501190868784584</v>
      </c>
      <c r="D15" s="8">
        <f t="shared" si="0"/>
        <v>136.45499999999998</v>
      </c>
      <c r="E15" s="5">
        <v>208.24299999999999</v>
      </c>
      <c r="F15" s="10">
        <v>28.242000000000001</v>
      </c>
      <c r="G15" s="1">
        <v>106.137</v>
      </c>
      <c r="H15" s="6">
        <v>2.0760000000000001</v>
      </c>
      <c r="I15" s="3">
        <v>88.338999999999999</v>
      </c>
      <c r="J15" s="18" t="s">
        <v>25</v>
      </c>
      <c r="K15" s="2">
        <f t="shared" ref="K15" si="12">M$2/M15</f>
        <v>6.004115226337448</v>
      </c>
      <c r="L15" s="2">
        <f t="shared" ref="L15" si="13">M14/M15</f>
        <v>1.0815563037785261</v>
      </c>
      <c r="M15" s="8">
        <f t="shared" si="1"/>
        <v>5.3460000000000001</v>
      </c>
      <c r="N15" s="5">
        <v>73.634</v>
      </c>
      <c r="O15" s="10">
        <v>0.82599999999999996</v>
      </c>
      <c r="P15" s="1">
        <v>4.3220000000000001</v>
      </c>
      <c r="Q15" s="6">
        <v>0.19800000000000001</v>
      </c>
      <c r="R15" s="3">
        <v>3.7160000000000002</v>
      </c>
      <c r="S15" s="18" t="s">
        <v>25</v>
      </c>
      <c r="T15" s="2">
        <f>ROUND(B15/K15,3)</f>
        <v>1.355</v>
      </c>
      <c r="U15" s="2">
        <f>ROUND(C15/L15,3)</f>
        <v>1.341</v>
      </c>
      <c r="V15" s="8">
        <f>ROUND(D15/M15,3)</f>
        <v>25.524999999999999</v>
      </c>
      <c r="W15" s="5">
        <f>ROUND(E15/N15,3)</f>
        <v>2.8279999999999998</v>
      </c>
      <c r="X15" s="10">
        <f>ROUND(F15/O15,3)</f>
        <v>34.191000000000003</v>
      </c>
      <c r="Y15" s="1">
        <f>ROUND(G15/P15,3)</f>
        <v>24.556999999999999</v>
      </c>
      <c r="Z15" s="6">
        <f>ROUND(H15/Q15,3)</f>
        <v>10.484999999999999</v>
      </c>
      <c r="AA15" s="3">
        <f>ROUND(I15/R15,3)</f>
        <v>23.773</v>
      </c>
    </row>
    <row r="16" spans="1:27" ht="14.25" customHeight="1" x14ac:dyDescent="0.2">
      <c r="A16" s="18" t="s">
        <v>27</v>
      </c>
      <c r="B16" s="5">
        <f t="shared" ref="B16" si="14">D$2/D16</f>
        <v>8.0471655032944103</v>
      </c>
      <c r="C16" s="5">
        <f t="shared" ref="C16" si="15">D15/D16</f>
        <v>0.98908387152891031</v>
      </c>
      <c r="D16" s="4">
        <f t="shared" si="0"/>
        <v>137.96099999999998</v>
      </c>
      <c r="E16" s="19">
        <v>211.654</v>
      </c>
      <c r="F16" s="11">
        <v>27.997</v>
      </c>
      <c r="G16" s="11">
        <v>108.008</v>
      </c>
      <c r="H16" s="11">
        <v>1.956</v>
      </c>
      <c r="I16" s="12">
        <v>89.71</v>
      </c>
      <c r="J16" s="18" t="s">
        <v>27</v>
      </c>
      <c r="K16" s="5">
        <f t="shared" ref="K16" si="16">M$2/M16</f>
        <v>6.1302521008403348</v>
      </c>
      <c r="L16" s="5">
        <f t="shared" ref="L16" si="17">M15/M16</f>
        <v>1.0210084033613445</v>
      </c>
      <c r="M16" s="4">
        <f t="shared" si="1"/>
        <v>5.2360000000000007</v>
      </c>
      <c r="N16" s="1">
        <v>10.299000000000001</v>
      </c>
      <c r="O16" s="6">
        <v>0.81</v>
      </c>
      <c r="P16" s="6">
        <v>4.2370000000000001</v>
      </c>
      <c r="Q16" s="6">
        <v>0.189</v>
      </c>
      <c r="R16" s="7">
        <v>3.6360000000000001</v>
      </c>
      <c r="S16" s="18" t="s">
        <v>27</v>
      </c>
      <c r="T16" s="2">
        <f>ROUND(B16/K16,3)</f>
        <v>1.3129999999999999</v>
      </c>
      <c r="U16" s="2">
        <f>ROUND(C16/L16,3)</f>
        <v>0.96899999999999997</v>
      </c>
      <c r="V16" s="8">
        <f>ROUND(D16/M16,3)</f>
        <v>26.349</v>
      </c>
      <c r="W16" s="2">
        <f>ROUND(E16/N16,3)</f>
        <v>20.550999999999998</v>
      </c>
      <c r="X16" s="10">
        <f>ROUND(F16/O16,3)</f>
        <v>34.564</v>
      </c>
      <c r="Y16" s="1">
        <f>ROUND(G16/P16,3)</f>
        <v>25.492000000000001</v>
      </c>
      <c r="Z16" s="6">
        <f>ROUND(H16/Q16,3)</f>
        <v>10.349</v>
      </c>
      <c r="AA16" s="3">
        <f>ROUND(I16/R16,3)</f>
        <v>24.672999999999998</v>
      </c>
    </row>
    <row r="17" spans="10:18" ht="14.25" customHeight="1" x14ac:dyDescent="0.2">
      <c r="J17" s="16"/>
      <c r="K17" s="6"/>
      <c r="L17" s="6"/>
      <c r="M17" s="6"/>
      <c r="N17" s="6"/>
      <c r="O17" s="6"/>
      <c r="P17" s="6"/>
      <c r="Q17" s="6"/>
      <c r="R17" s="7"/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6226A-ABDF-4A08-82A9-477B53B06893}">
  <dimension ref="A1"/>
  <sheetViews>
    <sheetView workbookViewId="0">
      <selection activeCell="J13" sqref="A1:J13"/>
    </sheetView>
  </sheetViews>
  <sheetFormatPr defaultRowHeight="14.25" x14ac:dyDescent="0.2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2026-05-02T18:05:07Z</dcterms:modified>
</cp:coreProperties>
</file>