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59D10CDE-8C13-42AB-B927-A7B938F85C75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2" l="1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C12" i="2"/>
  <c r="C11" i="2"/>
  <c r="C10" i="2"/>
  <c r="C9" i="2"/>
  <c r="C8" i="2"/>
  <c r="C7" i="2"/>
  <c r="C6" i="2"/>
  <c r="C5" i="2"/>
  <c r="C4" i="2"/>
  <c r="C3" i="2"/>
  <c r="B12" i="2"/>
  <c r="B11" i="2"/>
  <c r="B10" i="2"/>
  <c r="B9" i="2"/>
  <c r="B8" i="2"/>
  <c r="B7" i="2"/>
  <c r="B6" i="2"/>
  <c r="B5" i="2"/>
  <c r="B4" i="2"/>
  <c r="B3" i="2"/>
  <c r="M12" i="2"/>
  <c r="M11" i="2"/>
  <c r="M10" i="2"/>
  <c r="M9" i="2"/>
  <c r="M8" i="2"/>
  <c r="M7" i="2"/>
  <c r="M6" i="2"/>
  <c r="M5" i="2"/>
  <c r="M4" i="2"/>
  <c r="M3" i="2"/>
  <c r="M2" i="2"/>
  <c r="D22" i="2"/>
  <c r="D17" i="2"/>
  <c r="D21" i="2"/>
  <c r="D12" i="2"/>
  <c r="D11" i="2"/>
  <c r="D10" i="2"/>
  <c r="D9" i="2"/>
  <c r="D8" i="2"/>
  <c r="D7" i="2"/>
  <c r="D6" i="2"/>
  <c r="D5" i="2"/>
  <c r="D4" i="2"/>
  <c r="D3" i="2"/>
  <c r="D23" i="2"/>
  <c r="D2" i="2"/>
  <c r="I24" i="2"/>
  <c r="H24" i="2"/>
  <c r="G24" i="2"/>
  <c r="F24" i="2"/>
  <c r="E24" i="2"/>
  <c r="I23" i="2"/>
  <c r="H23" i="2"/>
  <c r="G23" i="2"/>
  <c r="F23" i="2"/>
  <c r="E23" i="2"/>
  <c r="I22" i="2"/>
  <c r="H22" i="2"/>
  <c r="G22" i="2"/>
  <c r="F22" i="2"/>
  <c r="E22" i="2"/>
  <c r="I21" i="2"/>
  <c r="H21" i="2"/>
  <c r="G21" i="2"/>
  <c r="F21" i="2"/>
  <c r="E21" i="2"/>
  <c r="I20" i="2"/>
  <c r="H20" i="2"/>
  <c r="G20" i="2"/>
  <c r="F20" i="2"/>
  <c r="E20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I16" i="2"/>
  <c r="H16" i="2"/>
  <c r="G16" i="2"/>
  <c r="F16" i="2"/>
  <c r="E16" i="2"/>
  <c r="I15" i="2"/>
  <c r="H15" i="2"/>
  <c r="G15" i="2"/>
  <c r="F15" i="2"/>
  <c r="E15" i="2"/>
  <c r="I14" i="2"/>
  <c r="H14" i="2"/>
  <c r="G14" i="2"/>
  <c r="F14" i="2"/>
  <c r="E14" i="2"/>
  <c r="D19" i="2" l="1"/>
  <c r="D15" i="2"/>
  <c r="D20" i="2"/>
  <c r="D24" i="2"/>
  <c r="D18" i="2"/>
  <c r="D16" i="2"/>
  <c r="D14" i="2"/>
</calcChain>
</file>

<file path=xl/sharedStrings.xml><?xml version="1.0" encoding="utf-8"?>
<sst xmlns="http://schemas.openxmlformats.org/spreadsheetml/2006/main" count="40" uniqueCount="23">
  <si>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</si>
  <si>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</si>
  <si>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</si>
  <si>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</si>
  <si>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</si>
  <si>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</si>
  <si>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</si>
  <si>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</si>
  <si>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</si>
  <si>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</si>
  <si>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</si>
  <si>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总中位</t>
  </si>
  <si>
    <t>pre</t>
  </si>
  <si>
    <t>c</t>
  </si>
  <si>
    <t>q</t>
  </si>
  <si>
    <t>z</t>
  </si>
  <si>
    <t>x</t>
  </si>
  <si>
    <t>上一</t>
    <phoneticPr fontId="3" type="noConversion"/>
  </si>
  <si>
    <t>第一</t>
    <phoneticPr fontId="3" type="noConversion"/>
  </si>
  <si>
    <t>B</t>
    <phoneticPr fontId="3" type="noConversion"/>
  </si>
  <si>
    <t>A</t>
    <phoneticPr fontId="3" type="noConversion"/>
  </si>
  <si>
    <t>第一</t>
  </si>
  <si>
    <t>上一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</si>
</sst>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0_ "/>
  </numFmts>
  <fonts count="8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180" fontId="5" fillId="0" borderId="0" xfId="0" applyNumberFormat="1" applyFont="1" applyAlignment="1">
      <alignment horizontal="left" vertical="center" wrapText="1"/>
    </xf>
    <xf numFmtId="180" fontId="0" fillId="0" borderId="0" xfId="0" applyNumberFormat="1" applyAlignment="1">
      <alignment horizontal="left" vertical="center" wrapText="1"/>
    </xf>
    <xf numFmtId="180" fontId="6" fillId="0" borderId="0" xfId="0" applyNumberFormat="1" applyFont="1" applyAlignment="1">
      <alignment horizontal="left" vertical="center" wrapText="1"/>
    </xf>
    <xf numFmtId="180" fontId="4" fillId="0" borderId="0" xfId="0" applyNumberFormat="1" applyFont="1" applyAlignment="1">
      <alignment horizontal="left" vertical="center" wrapText="1"/>
    </xf>
    <xf numFmtId="180" fontId="2" fillId="0" borderId="0" xfId="0" applyNumberFormat="1" applyFont="1" applyAlignment="1">
      <alignment horizontal="left" vertical="center" wrapText="1"/>
    </xf>
    <xf numFmtId="180" fontId="1" fillId="0" borderId="0" xfId="0" applyNumberFormat="1" applyFont="1" applyAlignment="1">
      <alignment horizontal="left" vertical="center"/>
    </xf>
    <xf numFmtId="180" fontId="0" fillId="0" borderId="0" xfId="0" applyNumberFormat="1" applyAlignment="1">
      <alignment horizontal="left" vertical="center"/>
    </xf>
    <xf numFmtId="180" fontId="6" fillId="0" borderId="0" xfId="0" applyNumberFormat="1" applyFont="1" applyAlignment="1">
      <alignment horizontal="left" vertical="center"/>
    </xf>
    <xf numFmtId="180" fontId="2" fillId="0" borderId="0" xfId="0" applyNumberFormat="1" applyFont="1" applyAlignment="1">
      <alignment horizontal="left" vertical="center"/>
    </xf>
    <xf numFmtId="180" fontId="4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R41"/>
  <sheetViews>
    <sheetView tabSelected="1" workbookViewId="0">
      <selection activeCell="E23" sqref="E23"/>
    </sheetView>
  </sheetViews>
  <sheetFormatPr defaultColWidth="8.875" defaultRowHeight="14.25" customHeight="1" x14ac:dyDescent="0.2"/>
  <cols>
    <col min="1" max="1" width="8.875" style="2"/>
    <col min="2" max="3" width="8.875" style="2" customWidth="1"/>
    <col min="4" max="16384" width="8.875" style="2"/>
  </cols>
  <sheetData>
    <row r="1" spans="1:18" ht="14.25" customHeight="1" x14ac:dyDescent="0.2">
      <c r="A1" s="1" t="s">
        <v>20</v>
      </c>
      <c r="B1" s="1" t="s">
        <v>21</v>
      </c>
      <c r="C1" s="1" t="s">
        <v>22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19</v>
      </c>
      <c r="K1" s="1" t="s">
        <v>18</v>
      </c>
      <c r="L1" s="1" t="s">
        <v>17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ht="14.25" customHeight="1" x14ac:dyDescent="0.2">
      <c r="A2" s="3" t="s">
        <v>0</v>
      </c>
      <c r="B2" s="7">
        <v>1</v>
      </c>
      <c r="C2" s="7">
        <v>1</v>
      </c>
      <c r="D2" s="7">
        <f>SUM(F2:I2)</f>
        <v>1139.7080000000001</v>
      </c>
      <c r="E2" s="8">
        <v>1015.2859999999999</v>
      </c>
      <c r="F2" s="8">
        <v>2.5390000000000001</v>
      </c>
      <c r="G2" s="8">
        <v>260.11099999999999</v>
      </c>
      <c r="H2" s="8">
        <v>203.654</v>
      </c>
      <c r="I2" s="8">
        <v>673.404</v>
      </c>
      <c r="J2" s="3" t="s">
        <v>0</v>
      </c>
      <c r="K2" s="7">
        <v>1</v>
      </c>
      <c r="L2" s="7">
        <v>1</v>
      </c>
      <c r="M2" s="7">
        <f>SUM(O2:R2)</f>
        <v>35.206000000000003</v>
      </c>
      <c r="N2" s="8">
        <v>27.596</v>
      </c>
      <c r="O2" s="8">
        <v>0.97399999999999998</v>
      </c>
      <c r="P2" s="8">
        <v>6.4889999999999999</v>
      </c>
      <c r="Q2" s="8">
        <v>12.361000000000001</v>
      </c>
      <c r="R2" s="8">
        <v>15.382</v>
      </c>
    </row>
    <row r="3" spans="1:18" ht="14.25" customHeight="1" x14ac:dyDescent="0.2">
      <c r="A3" s="3" t="s">
        <v>1</v>
      </c>
      <c r="B3" s="9">
        <f>D$2/D3</f>
        <v>1.630143060247788</v>
      </c>
      <c r="C3" s="9">
        <f>D2/D3</f>
        <v>1.630143060247788</v>
      </c>
      <c r="D3" s="9">
        <f t="shared" ref="D3:D12" si="0">SUM(F3:I3)</f>
        <v>699.14600000000007</v>
      </c>
      <c r="E3" s="10">
        <v>1031.9590000000001</v>
      </c>
      <c r="F3" s="11">
        <v>0.26</v>
      </c>
      <c r="G3" s="8">
        <v>263.96300000000002</v>
      </c>
      <c r="H3" s="8">
        <v>427.09300000000002</v>
      </c>
      <c r="I3" s="11">
        <v>7.83</v>
      </c>
      <c r="J3" s="3" t="s">
        <v>1</v>
      </c>
      <c r="K3" s="9">
        <f>M$2/M3</f>
        <v>1.9156600282947003</v>
      </c>
      <c r="L3" s="9">
        <f>M2/M3</f>
        <v>1.9156600282947003</v>
      </c>
      <c r="M3" s="9">
        <f t="shared" ref="M3:M12" si="1">SUM(O3:R3)</f>
        <v>18.378</v>
      </c>
      <c r="N3" s="8">
        <v>27.553000000000001</v>
      </c>
      <c r="O3" s="11">
        <v>0.17499999999999999</v>
      </c>
      <c r="P3" s="10">
        <v>5.3179999999999996</v>
      </c>
      <c r="Q3" s="8">
        <v>12.311999999999999</v>
      </c>
      <c r="R3" s="11">
        <v>0.57299999999999995</v>
      </c>
    </row>
    <row r="4" spans="1:18" ht="14.25" customHeight="1" x14ac:dyDescent="0.2">
      <c r="A4" s="3" t="s">
        <v>2</v>
      </c>
      <c r="B4" s="9">
        <f t="shared" ref="B4:B12" si="2">D$2/D4</f>
        <v>2.0563920559626294</v>
      </c>
      <c r="C4" s="9">
        <f t="shared" ref="C4:C12" si="3">D3/D4</f>
        <v>1.2614795020812775</v>
      </c>
      <c r="D4" s="9">
        <f t="shared" si="0"/>
        <v>554.22699999999998</v>
      </c>
      <c r="E4" s="8">
        <v>1004.7430000000001</v>
      </c>
      <c r="F4" s="8">
        <v>0.26100000000000001</v>
      </c>
      <c r="G4" s="11">
        <v>110.2</v>
      </c>
      <c r="H4" s="8">
        <v>436.48200000000003</v>
      </c>
      <c r="I4" s="8">
        <v>7.2839999999999998</v>
      </c>
      <c r="J4" s="3" t="s">
        <v>2</v>
      </c>
      <c r="K4" s="9">
        <f t="shared" ref="K4:K12" si="4">M$2/M4</f>
        <v>2.1278936234511936</v>
      </c>
      <c r="L4" s="9">
        <f t="shared" ref="L4:L12" si="5">M3/M4</f>
        <v>1.1107887579329101</v>
      </c>
      <c r="M4" s="9">
        <f t="shared" si="1"/>
        <v>16.545000000000002</v>
      </c>
      <c r="N4" s="8">
        <v>26.414000000000001</v>
      </c>
      <c r="O4" s="8">
        <v>0.16800000000000001</v>
      </c>
      <c r="P4" s="11">
        <v>3.6219999999999999</v>
      </c>
      <c r="Q4" s="8">
        <v>12.28</v>
      </c>
      <c r="R4" s="10">
        <v>0.47499999999999998</v>
      </c>
    </row>
    <row r="5" spans="1:18" ht="14.25" customHeight="1" x14ac:dyDescent="0.2">
      <c r="A5" s="3" t="s">
        <v>3</v>
      </c>
      <c r="B5" s="9">
        <f t="shared" si="2"/>
        <v>3.7323910452062514</v>
      </c>
      <c r="C5" s="9">
        <f t="shared" si="3"/>
        <v>1.8150191907150997</v>
      </c>
      <c r="D5" s="9">
        <f t="shared" si="0"/>
        <v>305.35599999999999</v>
      </c>
      <c r="E5" s="8">
        <v>1025.009</v>
      </c>
      <c r="F5" s="8">
        <v>0.25700000000000001</v>
      </c>
      <c r="G5" s="8">
        <v>109.125</v>
      </c>
      <c r="H5" s="11">
        <v>188.672</v>
      </c>
      <c r="I5" s="8">
        <v>7.3019999999999996</v>
      </c>
      <c r="J5" s="3" t="s">
        <v>3</v>
      </c>
      <c r="K5" s="9">
        <f t="shared" si="4"/>
        <v>3.8334059233449485</v>
      </c>
      <c r="L5" s="9">
        <f t="shared" si="5"/>
        <v>1.8015026132404184</v>
      </c>
      <c r="M5" s="9">
        <f t="shared" si="1"/>
        <v>9.1839999999999993</v>
      </c>
      <c r="N5" s="8">
        <v>26.277000000000001</v>
      </c>
      <c r="O5" s="8">
        <v>0.19</v>
      </c>
      <c r="P5" s="8">
        <v>3.649</v>
      </c>
      <c r="Q5" s="11">
        <v>4.8890000000000002</v>
      </c>
      <c r="R5" s="8">
        <v>0.45600000000000002</v>
      </c>
    </row>
    <row r="6" spans="1:18" ht="14.25" customHeight="1" x14ac:dyDescent="0.2">
      <c r="A6" s="3" t="s">
        <v>4</v>
      </c>
      <c r="B6" s="7">
        <f t="shared" si="2"/>
        <v>3.8635348197063646</v>
      </c>
      <c r="C6" s="7">
        <f t="shared" si="3"/>
        <v>1.0351366651863956</v>
      </c>
      <c r="D6" s="7">
        <f t="shared" si="0"/>
        <v>294.99099999999999</v>
      </c>
      <c r="E6" s="11">
        <v>153.673</v>
      </c>
      <c r="F6" s="8">
        <v>0.255</v>
      </c>
      <c r="G6" s="8">
        <v>107.268</v>
      </c>
      <c r="H6" s="8">
        <v>179.84299999999999</v>
      </c>
      <c r="I6" s="10">
        <v>7.625</v>
      </c>
      <c r="J6" s="3" t="s">
        <v>4</v>
      </c>
      <c r="K6" s="7">
        <f t="shared" si="4"/>
        <v>3.9279259176614971</v>
      </c>
      <c r="L6" s="7">
        <f t="shared" si="5"/>
        <v>1.0246569229052771</v>
      </c>
      <c r="M6" s="7">
        <f t="shared" si="1"/>
        <v>8.963000000000001</v>
      </c>
      <c r="N6" s="11">
        <v>4.2919999999999998</v>
      </c>
      <c r="O6" s="8">
        <v>0.188</v>
      </c>
      <c r="P6" s="8">
        <v>3.54</v>
      </c>
      <c r="Q6" s="8">
        <v>4.78</v>
      </c>
      <c r="R6" s="8">
        <v>0.45500000000000002</v>
      </c>
    </row>
    <row r="7" spans="1:18" ht="14.25" customHeight="1" x14ac:dyDescent="0.2">
      <c r="A7" s="3" t="s">
        <v>5</v>
      </c>
      <c r="B7" s="7">
        <f t="shared" si="2"/>
        <v>3.7902837454937282</v>
      </c>
      <c r="C7" s="7">
        <f t="shared" si="3"/>
        <v>0.98104040014366856</v>
      </c>
      <c r="D7" s="7">
        <f t="shared" si="0"/>
        <v>300.69200000000001</v>
      </c>
      <c r="E7" s="8">
        <v>153.834</v>
      </c>
      <c r="F7" s="8">
        <v>0.251</v>
      </c>
      <c r="G7" s="8">
        <v>117.35899999999999</v>
      </c>
      <c r="H7" s="8">
        <v>181.01900000000001</v>
      </c>
      <c r="I7" s="11">
        <v>2.0630000000000002</v>
      </c>
      <c r="J7" s="3" t="s">
        <v>5</v>
      </c>
      <c r="K7" s="7">
        <f t="shared" si="4"/>
        <v>4.1176608187134516</v>
      </c>
      <c r="L7" s="7">
        <f t="shared" si="5"/>
        <v>1.0483040935672516</v>
      </c>
      <c r="M7" s="7">
        <f t="shared" si="1"/>
        <v>8.5499999999999989</v>
      </c>
      <c r="N7" s="8">
        <v>4.2939999999999996</v>
      </c>
      <c r="O7" s="10">
        <v>0.154</v>
      </c>
      <c r="P7" s="8">
        <v>3.4279999999999999</v>
      </c>
      <c r="Q7" s="8">
        <v>4.7839999999999998</v>
      </c>
      <c r="R7" s="11">
        <v>0.184</v>
      </c>
    </row>
    <row r="8" spans="1:18" ht="14.25" customHeight="1" x14ac:dyDescent="0.2">
      <c r="A8" s="3" t="s">
        <v>6</v>
      </c>
      <c r="B8" s="7">
        <f t="shared" si="2"/>
        <v>3.7170653751447258</v>
      </c>
      <c r="C8" s="7">
        <f t="shared" si="3"/>
        <v>0.98068261500578902</v>
      </c>
      <c r="D8" s="7">
        <f t="shared" si="0"/>
        <v>306.61500000000001</v>
      </c>
      <c r="E8" s="8">
        <v>156.56800000000001</v>
      </c>
      <c r="F8" s="11">
        <v>5.0000000000000001E-3</v>
      </c>
      <c r="G8" s="8">
        <v>119.048</v>
      </c>
      <c r="H8" s="8">
        <v>184.762</v>
      </c>
      <c r="I8" s="8">
        <v>2.8</v>
      </c>
      <c r="J8" s="3" t="s">
        <v>6</v>
      </c>
      <c r="K8" s="7">
        <f t="shared" si="4"/>
        <v>4.1360432330827077</v>
      </c>
      <c r="L8" s="7">
        <f t="shared" si="5"/>
        <v>1.0044642857142858</v>
      </c>
      <c r="M8" s="7">
        <f t="shared" si="1"/>
        <v>8.5119999999999987</v>
      </c>
      <c r="N8" s="8">
        <v>4.3570000000000002</v>
      </c>
      <c r="O8" s="11">
        <v>2E-3</v>
      </c>
      <c r="P8" s="8">
        <v>3.4750000000000001</v>
      </c>
      <c r="Q8" s="8">
        <v>4.8479999999999999</v>
      </c>
      <c r="R8" s="8">
        <v>0.187</v>
      </c>
    </row>
    <row r="9" spans="1:18" ht="14.25" customHeight="1" x14ac:dyDescent="0.2">
      <c r="A9" s="3" t="s">
        <v>7</v>
      </c>
      <c r="B9" s="7">
        <f t="shared" si="2"/>
        <v>3.8491555018186863</v>
      </c>
      <c r="C9" s="7">
        <f t="shared" si="3"/>
        <v>1.0355361322287255</v>
      </c>
      <c r="D9" s="7">
        <f t="shared" si="0"/>
        <v>296.09299999999996</v>
      </c>
      <c r="E9" s="8">
        <v>155.05600000000001</v>
      </c>
      <c r="F9" s="8">
        <v>5.0000000000000001E-3</v>
      </c>
      <c r="G9" s="8">
        <v>112.992</v>
      </c>
      <c r="H9" s="8">
        <v>181.054</v>
      </c>
      <c r="I9" s="8">
        <v>2.0419999999999998</v>
      </c>
      <c r="J9" s="3" t="s">
        <v>7</v>
      </c>
      <c r="K9" s="7">
        <f t="shared" si="4"/>
        <v>4.1467608951707904</v>
      </c>
      <c r="L9" s="7">
        <f t="shared" si="5"/>
        <v>1.0025912838633686</v>
      </c>
      <c r="M9" s="7">
        <f t="shared" si="1"/>
        <v>8.4899999999999984</v>
      </c>
      <c r="N9" s="8">
        <v>4.298</v>
      </c>
      <c r="O9" s="8">
        <v>2E-3</v>
      </c>
      <c r="P9" s="8">
        <v>3.4969999999999999</v>
      </c>
      <c r="Q9" s="8">
        <v>4.8079999999999998</v>
      </c>
      <c r="R9" s="8">
        <v>0.183</v>
      </c>
    </row>
    <row r="10" spans="1:18" ht="14.25" customHeight="1" x14ac:dyDescent="0.2">
      <c r="A10" s="3" t="s">
        <v>8</v>
      </c>
      <c r="B10" s="7">
        <f t="shared" si="2"/>
        <v>3.7656380096477902</v>
      </c>
      <c r="C10" s="7">
        <f t="shared" si="3"/>
        <v>0.9783023855150994</v>
      </c>
      <c r="D10" s="7">
        <f t="shared" si="0"/>
        <v>302.65999999999997</v>
      </c>
      <c r="E10" s="8">
        <v>151.35400000000001</v>
      </c>
      <c r="F10" s="8">
        <v>5.0000000000000001E-3</v>
      </c>
      <c r="G10" s="8">
        <v>116.863</v>
      </c>
      <c r="H10" s="8">
        <v>183.643</v>
      </c>
      <c r="I10" s="10">
        <v>2.149</v>
      </c>
      <c r="J10" s="3" t="s">
        <v>8</v>
      </c>
      <c r="K10" s="7">
        <f t="shared" si="4"/>
        <v>4.1521405826158757</v>
      </c>
      <c r="L10" s="7">
        <f t="shared" si="5"/>
        <v>1.0012973227974997</v>
      </c>
      <c r="M10" s="7">
        <f t="shared" si="1"/>
        <v>8.4789999999999992</v>
      </c>
      <c r="N10" s="8">
        <v>4.359</v>
      </c>
      <c r="O10" s="8">
        <v>2E-3</v>
      </c>
      <c r="P10" s="8">
        <v>3.4489999999999998</v>
      </c>
      <c r="Q10" s="8">
        <v>4.8440000000000003</v>
      </c>
      <c r="R10" s="8">
        <v>0.184</v>
      </c>
    </row>
    <row r="11" spans="1:18" ht="14.25" customHeight="1" x14ac:dyDescent="0.2">
      <c r="A11" s="3" t="s">
        <v>9</v>
      </c>
      <c r="B11" s="9">
        <f t="shared" si="2"/>
        <v>4.8529602125630191</v>
      </c>
      <c r="C11" s="9">
        <f t="shared" si="3"/>
        <v>1.2887484670936094</v>
      </c>
      <c r="D11" s="9">
        <f t="shared" si="0"/>
        <v>234.84800000000001</v>
      </c>
      <c r="E11" s="10">
        <v>159.827</v>
      </c>
      <c r="F11" s="8">
        <v>5.0000000000000001E-3</v>
      </c>
      <c r="G11" s="11">
        <v>45.948999999999998</v>
      </c>
      <c r="H11" s="8">
        <v>186.798</v>
      </c>
      <c r="I11" s="8">
        <v>2.0960000000000001</v>
      </c>
      <c r="J11" s="3" t="s">
        <v>9</v>
      </c>
      <c r="K11" s="9">
        <f t="shared" si="4"/>
        <v>4.7142474558114627</v>
      </c>
      <c r="L11" s="9">
        <f t="shared" si="5"/>
        <v>1.1353776111408675</v>
      </c>
      <c r="M11" s="9">
        <f t="shared" si="1"/>
        <v>7.468</v>
      </c>
      <c r="N11" s="8">
        <v>5.6870000000000003</v>
      </c>
      <c r="O11" s="8">
        <v>2E-3</v>
      </c>
      <c r="P11" s="11">
        <v>1.115</v>
      </c>
      <c r="Q11" s="8">
        <v>6.165</v>
      </c>
      <c r="R11" s="8">
        <v>0.186</v>
      </c>
    </row>
    <row r="12" spans="1:18" ht="14.25" customHeight="1" x14ac:dyDescent="0.2">
      <c r="A12" s="3" t="s">
        <v>10</v>
      </c>
      <c r="B12" s="9">
        <f t="shared" si="2"/>
        <v>5.2896746016643537</v>
      </c>
      <c r="C12" s="9">
        <f t="shared" si="3"/>
        <v>1.0899892787026766</v>
      </c>
      <c r="D12" s="9">
        <f t="shared" si="0"/>
        <v>215.45900000000003</v>
      </c>
      <c r="E12" s="11">
        <v>135.697</v>
      </c>
      <c r="F12" s="8">
        <v>5.0000000000000001E-3</v>
      </c>
      <c r="G12" s="8">
        <v>46.055999999999997</v>
      </c>
      <c r="H12" s="11">
        <v>167.34200000000001</v>
      </c>
      <c r="I12" s="8">
        <v>2.056</v>
      </c>
      <c r="J12" s="3" t="s">
        <v>10</v>
      </c>
      <c r="K12" s="9">
        <f t="shared" si="4"/>
        <v>6.0181196581196588</v>
      </c>
      <c r="L12" s="9">
        <f t="shared" si="5"/>
        <v>1.2765811965811966</v>
      </c>
      <c r="M12" s="9">
        <f t="shared" si="1"/>
        <v>5.85</v>
      </c>
      <c r="N12" s="11">
        <v>3.859</v>
      </c>
      <c r="O12" s="8">
        <v>2E-3</v>
      </c>
      <c r="P12" s="8">
        <v>1.085</v>
      </c>
      <c r="Q12" s="11">
        <v>4.5869999999999997</v>
      </c>
      <c r="R12" s="10">
        <v>0.17599999999999999</v>
      </c>
    </row>
    <row r="14" spans="1:18" ht="14.25" customHeight="1" x14ac:dyDescent="0.2">
      <c r="D14" s="12">
        <f>ROUND(D2/M2,3)</f>
        <v>32.372999999999998</v>
      </c>
      <c r="E14" s="13">
        <f t="shared" ref="E14:I14" si="6">ROUND(E2/N2,3)</f>
        <v>36.790999999999997</v>
      </c>
      <c r="F14" s="13">
        <f t="shared" si="6"/>
        <v>2.6070000000000002</v>
      </c>
      <c r="G14" s="13">
        <f t="shared" si="6"/>
        <v>40.085000000000001</v>
      </c>
      <c r="H14" s="13">
        <f t="shared" si="6"/>
        <v>16.475999999999999</v>
      </c>
      <c r="I14" s="13">
        <f t="shared" si="6"/>
        <v>43.779000000000003</v>
      </c>
      <c r="J14" s="6"/>
      <c r="K14" s="6"/>
      <c r="L14" s="6"/>
      <c r="M14" s="6"/>
      <c r="N14" s="6"/>
      <c r="O14" s="6"/>
      <c r="P14" s="6"/>
      <c r="Q14" s="6"/>
      <c r="R14" s="6"/>
    </row>
    <row r="15" spans="1:18" ht="14.25" customHeight="1" x14ac:dyDescent="0.2">
      <c r="D15" s="14">
        <f t="shared" ref="D15:I15" si="7">ROUND(D3/M3,3)</f>
        <v>38.042999999999999</v>
      </c>
      <c r="E15" s="13">
        <f t="shared" si="7"/>
        <v>37.454000000000001</v>
      </c>
      <c r="F15" s="15">
        <f t="shared" si="7"/>
        <v>1.486</v>
      </c>
      <c r="G15" s="13">
        <f t="shared" si="7"/>
        <v>49.636000000000003</v>
      </c>
      <c r="H15" s="13">
        <f t="shared" si="7"/>
        <v>34.689</v>
      </c>
      <c r="I15" s="15">
        <f t="shared" si="7"/>
        <v>13.664999999999999</v>
      </c>
      <c r="J15" s="4"/>
      <c r="K15" s="4"/>
      <c r="L15" s="4"/>
      <c r="M15" s="4"/>
      <c r="N15" s="4"/>
      <c r="O15" s="4"/>
      <c r="P15" s="4"/>
      <c r="Q15" s="4"/>
      <c r="R15" s="4"/>
    </row>
    <row r="16" spans="1:18" ht="14.25" customHeight="1" x14ac:dyDescent="0.2">
      <c r="D16" s="14">
        <f t="shared" ref="D16:I16" si="8">ROUND(D4/M4,3)</f>
        <v>33.497999999999998</v>
      </c>
      <c r="E16" s="13">
        <f t="shared" si="8"/>
        <v>38.037999999999997</v>
      </c>
      <c r="F16" s="13">
        <f t="shared" si="8"/>
        <v>1.554</v>
      </c>
      <c r="G16" s="15">
        <f t="shared" si="8"/>
        <v>30.425000000000001</v>
      </c>
      <c r="H16" s="13">
        <f t="shared" si="8"/>
        <v>35.543999999999997</v>
      </c>
      <c r="I16" s="13">
        <f t="shared" si="8"/>
        <v>15.335000000000001</v>
      </c>
      <c r="J16" s="4"/>
      <c r="K16" s="4"/>
      <c r="L16" s="4"/>
      <c r="M16" s="4"/>
      <c r="N16" s="4"/>
      <c r="O16" s="4"/>
      <c r="P16" s="4"/>
      <c r="Q16" s="4"/>
      <c r="R16" s="4"/>
    </row>
    <row r="17" spans="1:18" ht="14.25" customHeight="1" x14ac:dyDescent="0.2">
      <c r="D17" s="14">
        <f t="shared" ref="D17:I17" si="9">ROUND(D5/M5,3)</f>
        <v>33.249000000000002</v>
      </c>
      <c r="E17" s="13">
        <f t="shared" si="9"/>
        <v>39.008000000000003</v>
      </c>
      <c r="F17" s="13">
        <f t="shared" si="9"/>
        <v>1.353</v>
      </c>
      <c r="G17" s="13">
        <f t="shared" si="9"/>
        <v>29.905000000000001</v>
      </c>
      <c r="H17" s="15">
        <f t="shared" si="9"/>
        <v>38.591000000000001</v>
      </c>
      <c r="I17" s="13">
        <f t="shared" si="9"/>
        <v>16.013000000000002</v>
      </c>
      <c r="J17" s="4"/>
      <c r="K17" s="4"/>
      <c r="L17" s="4"/>
      <c r="M17" s="4"/>
      <c r="N17" s="4"/>
      <c r="O17" s="4"/>
      <c r="P17" s="4"/>
      <c r="Q17" s="4"/>
      <c r="R17" s="4"/>
    </row>
    <row r="18" spans="1:18" ht="14.25" customHeight="1" x14ac:dyDescent="0.2">
      <c r="D18" s="12">
        <f t="shared" ref="D18:I18" si="10">ROUND(D6/M6,3)</f>
        <v>32.911999999999999</v>
      </c>
      <c r="E18" s="15">
        <f t="shared" si="10"/>
        <v>35.805</v>
      </c>
      <c r="F18" s="16">
        <f t="shared" si="10"/>
        <v>1.3560000000000001</v>
      </c>
      <c r="G18" s="13">
        <f t="shared" si="10"/>
        <v>30.302</v>
      </c>
      <c r="H18" s="13">
        <f t="shared" si="10"/>
        <v>37.624000000000002</v>
      </c>
      <c r="I18" s="13">
        <f t="shared" si="10"/>
        <v>16.757999999999999</v>
      </c>
      <c r="J18" s="4"/>
      <c r="K18" s="4"/>
      <c r="L18" s="4"/>
      <c r="M18" s="4"/>
      <c r="N18" s="4"/>
      <c r="O18" s="4"/>
      <c r="P18" s="4"/>
      <c r="Q18" s="4"/>
      <c r="R18" s="4"/>
    </row>
    <row r="19" spans="1:18" ht="14.25" customHeight="1" x14ac:dyDescent="0.2">
      <c r="D19" s="12">
        <f t="shared" ref="D19:I19" si="11">ROUND(D7/M7,3)</f>
        <v>35.168999999999997</v>
      </c>
      <c r="E19" s="13">
        <f t="shared" si="11"/>
        <v>35.825000000000003</v>
      </c>
      <c r="F19" s="13">
        <f t="shared" si="11"/>
        <v>1.63</v>
      </c>
      <c r="G19" s="13">
        <f t="shared" si="11"/>
        <v>34.234999999999999</v>
      </c>
      <c r="H19" s="13">
        <f t="shared" si="11"/>
        <v>37.838000000000001</v>
      </c>
      <c r="I19" s="15">
        <f t="shared" si="11"/>
        <v>11.212</v>
      </c>
      <c r="J19" s="4"/>
      <c r="K19" s="4"/>
      <c r="L19" s="4"/>
      <c r="M19" s="4"/>
      <c r="N19" s="4"/>
      <c r="O19" s="4"/>
      <c r="P19" s="4"/>
      <c r="Q19" s="4"/>
      <c r="R19" s="4"/>
    </row>
    <row r="20" spans="1:18" ht="14.25" customHeight="1" x14ac:dyDescent="0.2">
      <c r="D20" s="12">
        <f t="shared" ref="D20:I20" si="12">ROUND(D8/M8,3)</f>
        <v>36.021000000000001</v>
      </c>
      <c r="E20" s="13">
        <f t="shared" si="12"/>
        <v>35.935000000000002</v>
      </c>
      <c r="F20" s="15">
        <f t="shared" si="12"/>
        <v>2.5</v>
      </c>
      <c r="G20" s="16">
        <f t="shared" si="12"/>
        <v>34.258000000000003</v>
      </c>
      <c r="H20" s="13">
        <f t="shared" si="12"/>
        <v>38.110999999999997</v>
      </c>
      <c r="I20" s="13">
        <f t="shared" si="12"/>
        <v>14.973000000000001</v>
      </c>
      <c r="J20" s="4"/>
      <c r="K20" s="4"/>
      <c r="L20" s="4"/>
      <c r="M20" s="4"/>
      <c r="N20" s="4"/>
      <c r="O20" s="4"/>
      <c r="P20" s="4"/>
      <c r="Q20" s="4"/>
      <c r="R20" s="4"/>
    </row>
    <row r="21" spans="1:18" ht="14.25" customHeight="1" x14ac:dyDescent="0.2">
      <c r="D21" s="12">
        <f t="shared" ref="D21:I21" si="13">ROUND(D9/M9,3)</f>
        <v>34.875999999999998</v>
      </c>
      <c r="E21" s="13">
        <f t="shared" si="13"/>
        <v>36.076000000000001</v>
      </c>
      <c r="F21" s="13">
        <f t="shared" si="13"/>
        <v>2.5</v>
      </c>
      <c r="G21" s="13">
        <f t="shared" si="13"/>
        <v>32.311</v>
      </c>
      <c r="H21" s="13">
        <f t="shared" si="13"/>
        <v>37.656999999999996</v>
      </c>
      <c r="I21" s="13">
        <f t="shared" si="13"/>
        <v>11.157999999999999</v>
      </c>
      <c r="J21" s="4"/>
      <c r="K21" s="4"/>
      <c r="L21" s="4"/>
      <c r="M21" s="4"/>
      <c r="N21" s="4"/>
      <c r="O21" s="4"/>
      <c r="P21" s="4"/>
      <c r="Q21" s="4"/>
      <c r="R21" s="4"/>
    </row>
    <row r="22" spans="1:18" ht="14.25" customHeight="1" x14ac:dyDescent="0.2">
      <c r="D22" s="12">
        <f t="shared" ref="D22:I22" si="14">ROUND(D10/M10,3)</f>
        <v>35.695</v>
      </c>
      <c r="E22" s="13">
        <f t="shared" si="14"/>
        <v>34.722000000000001</v>
      </c>
      <c r="F22" s="13">
        <f t="shared" si="14"/>
        <v>2.5</v>
      </c>
      <c r="G22" s="13">
        <f t="shared" si="14"/>
        <v>33.883000000000003</v>
      </c>
      <c r="H22" s="13">
        <f t="shared" si="14"/>
        <v>37.911000000000001</v>
      </c>
      <c r="I22" s="13">
        <f t="shared" si="14"/>
        <v>11.679</v>
      </c>
      <c r="J22" s="4"/>
      <c r="K22" s="4"/>
      <c r="L22" s="4"/>
      <c r="M22" s="4"/>
      <c r="N22" s="4"/>
      <c r="O22" s="4"/>
      <c r="P22" s="4"/>
      <c r="Q22" s="4"/>
      <c r="R22" s="4"/>
    </row>
    <row r="23" spans="1:18" ht="14.25" customHeight="1" x14ac:dyDescent="0.2">
      <c r="D23" s="14">
        <f t="shared" ref="D23:I23" si="15">ROUND(D11/M11,3)</f>
        <v>31.446999999999999</v>
      </c>
      <c r="E23" s="16">
        <f t="shared" si="15"/>
        <v>28.103999999999999</v>
      </c>
      <c r="F23" s="13">
        <f t="shared" si="15"/>
        <v>2.5</v>
      </c>
      <c r="G23" s="15">
        <f t="shared" si="15"/>
        <v>41.21</v>
      </c>
      <c r="H23" s="13">
        <f t="shared" si="15"/>
        <v>30.3</v>
      </c>
      <c r="I23" s="13">
        <f t="shared" si="15"/>
        <v>11.269</v>
      </c>
      <c r="J23" s="4"/>
      <c r="K23" s="4"/>
      <c r="L23" s="4"/>
      <c r="M23" s="4"/>
      <c r="N23" s="4"/>
      <c r="O23" s="4"/>
      <c r="P23" s="4"/>
      <c r="Q23" s="4"/>
      <c r="R23" s="4"/>
    </row>
    <row r="24" spans="1:18" ht="14.25" customHeight="1" x14ac:dyDescent="0.2">
      <c r="D24" s="14">
        <f t="shared" ref="D24:I24" si="16">ROUND(D12/M12,3)</f>
        <v>36.831000000000003</v>
      </c>
      <c r="E24" s="15">
        <f t="shared" si="16"/>
        <v>35.164000000000001</v>
      </c>
      <c r="F24" s="13">
        <f t="shared" si="16"/>
        <v>2.5</v>
      </c>
      <c r="G24" s="13">
        <f t="shared" si="16"/>
        <v>42.448</v>
      </c>
      <c r="H24" s="15">
        <f t="shared" si="16"/>
        <v>36.481999999999999</v>
      </c>
      <c r="I24" s="13">
        <f t="shared" si="16"/>
        <v>11.682</v>
      </c>
      <c r="J24" s="4"/>
      <c r="K24" s="4"/>
      <c r="L24" s="4"/>
      <c r="M24" s="4"/>
      <c r="N24" s="4"/>
      <c r="O24" s="4"/>
      <c r="P24" s="4"/>
      <c r="Q24" s="4"/>
      <c r="R24" s="4"/>
    </row>
    <row r="25" spans="1:18" ht="14.25" customHeight="1" x14ac:dyDescent="0.2">
      <c r="J25" s="4"/>
      <c r="K25" s="4"/>
      <c r="L25" s="4"/>
      <c r="M25" s="4"/>
      <c r="N25" s="4"/>
      <c r="O25" s="4"/>
      <c r="P25" s="4"/>
      <c r="Q25" s="4"/>
      <c r="R25" s="4"/>
    </row>
    <row r="30" spans="1:18" ht="14.25" customHeight="1" x14ac:dyDescent="0.2">
      <c r="A30" s="5"/>
      <c r="B30" s="5"/>
      <c r="C30" s="5"/>
      <c r="D30" s="5"/>
      <c r="E30" s="5"/>
      <c r="F30" s="5"/>
      <c r="G30" s="5"/>
      <c r="H30" s="5"/>
      <c r="I30" s="5"/>
    </row>
    <row r="31" spans="1:18" ht="14.25" customHeight="1" x14ac:dyDescent="0.2">
      <c r="A31" s="3"/>
      <c r="B31" s="3"/>
      <c r="C31" s="3"/>
      <c r="D31" s="3"/>
      <c r="E31" s="3"/>
      <c r="F31" s="3"/>
      <c r="G31" s="3"/>
      <c r="H31" s="3"/>
      <c r="I31" s="3"/>
    </row>
    <row r="32" spans="1:18" ht="14.25" customHeight="1" x14ac:dyDescent="0.2">
      <c r="A32" s="3"/>
      <c r="B32" s="3"/>
      <c r="C32" s="3"/>
      <c r="D32" s="3"/>
      <c r="E32" s="3"/>
      <c r="F32" s="3"/>
      <c r="G32" s="3"/>
      <c r="H32" s="3"/>
      <c r="I32" s="3"/>
    </row>
    <row r="33" spans="1:9" ht="14.25" customHeight="1" x14ac:dyDescent="0.2">
      <c r="A33" s="3"/>
      <c r="B33" s="3"/>
      <c r="C33" s="3"/>
      <c r="D33" s="3"/>
      <c r="E33" s="3"/>
      <c r="F33" s="3"/>
      <c r="G33" s="3"/>
      <c r="H33" s="3"/>
      <c r="I33" s="3"/>
    </row>
    <row r="34" spans="1:9" ht="14.25" customHeight="1" x14ac:dyDescent="0.2">
      <c r="A34" s="3"/>
      <c r="B34" s="3"/>
      <c r="C34" s="3"/>
      <c r="D34" s="3"/>
      <c r="E34" s="3"/>
      <c r="F34" s="3"/>
      <c r="G34" s="3"/>
      <c r="H34" s="3"/>
      <c r="I34" s="3"/>
    </row>
    <row r="35" spans="1:9" ht="14.25" customHeight="1" x14ac:dyDescent="0.2">
      <c r="A35" s="3"/>
      <c r="B35" s="3"/>
      <c r="C35" s="3"/>
      <c r="D35" s="3"/>
      <c r="E35" s="3"/>
      <c r="F35" s="3"/>
      <c r="G35" s="3"/>
      <c r="H35" s="3"/>
      <c r="I35" s="3"/>
    </row>
    <row r="36" spans="1:9" ht="14.25" customHeight="1" x14ac:dyDescent="0.2">
      <c r="A36" s="3"/>
      <c r="B36" s="3"/>
      <c r="C36" s="3"/>
      <c r="D36" s="3"/>
      <c r="E36" s="3"/>
      <c r="F36" s="3"/>
      <c r="G36" s="3"/>
      <c r="H36" s="3"/>
      <c r="I36" s="3"/>
    </row>
    <row r="37" spans="1:9" ht="14.25" customHeight="1" x14ac:dyDescent="0.2">
      <c r="A37" s="3"/>
      <c r="B37" s="3"/>
      <c r="C37" s="3"/>
      <c r="D37" s="3"/>
      <c r="E37" s="3"/>
      <c r="F37" s="3"/>
      <c r="G37" s="3"/>
      <c r="H37" s="3"/>
      <c r="I37" s="3"/>
    </row>
    <row r="38" spans="1:9" ht="14.25" customHeight="1" x14ac:dyDescent="0.2">
      <c r="A38" s="3"/>
      <c r="B38" s="3"/>
      <c r="C38" s="3"/>
      <c r="D38" s="3"/>
      <c r="E38" s="3"/>
      <c r="F38" s="3"/>
      <c r="G38" s="3"/>
      <c r="H38" s="3"/>
      <c r="I38" s="3"/>
    </row>
    <row r="39" spans="1:9" ht="14.25" customHeight="1" x14ac:dyDescent="0.2">
      <c r="A39" s="3"/>
      <c r="B39" s="3"/>
      <c r="C39" s="3"/>
      <c r="D39" s="3"/>
      <c r="E39" s="3"/>
      <c r="F39" s="3"/>
      <c r="G39" s="3"/>
      <c r="H39" s="3"/>
      <c r="I39" s="3"/>
    </row>
    <row r="40" spans="1:9" ht="14.25" customHeight="1" x14ac:dyDescent="0.2">
      <c r="A40" s="3"/>
      <c r="B40" s="3"/>
      <c r="C40" s="3"/>
      <c r="D40" s="3"/>
      <c r="E40" s="3"/>
      <c r="F40" s="3"/>
      <c r="G40" s="3"/>
      <c r="H40" s="3"/>
      <c r="I40" s="3"/>
    </row>
    <row r="41" spans="1:9" ht="14.25" customHeight="1" x14ac:dyDescent="0.2">
      <c r="A41" s="3"/>
      <c r="B41" s="3"/>
      <c r="C41" s="3"/>
      <c r="D41" s="3"/>
      <c r="E41" s="3"/>
      <c r="F41" s="3"/>
      <c r="G41" s="3"/>
      <c r="H41" s="3"/>
      <c r="I41" s="3"/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2026-05-01T11:40:43Z</dcterms:modified>
</cp:coreProperties>
</file>