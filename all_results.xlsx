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64B3036D-F31B-43BB-BAE9-84B291BC8477}" xr6:coauthVersionLast="47" xr6:coauthVersionMax="47" xr10:uidLastSave="{00000000-0000-0000-0000-000000000000}"/>
  <bookViews>
    <workbookView xWindow="-120" yWindow="-120" windowWidth="38640" windowHeight="2112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17" i="2" l="1"/>
  <c r="Z17" i="2"/>
  <c r="Y17" i="2"/>
  <c r="X17" i="2"/>
  <c r="W17" i="2"/>
  <c r="V17" i="2"/>
  <c r="U17" i="2"/>
  <c r="T17" i="2"/>
  <c r="M17" i="2"/>
  <c r="L17" i="2"/>
  <c r="K17" i="2"/>
  <c r="D17" i="2"/>
  <c r="C17" i="2" s="1"/>
  <c r="B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W16" i="2"/>
  <c r="X16" i="2"/>
  <c r="Y16" i="2"/>
  <c r="Z16" i="2"/>
  <c r="AA16" i="2"/>
  <c r="T2" i="2"/>
  <c r="U2" i="2"/>
  <c r="W15" i="2"/>
  <c r="X15" i="2"/>
  <c r="Y15" i="2"/>
  <c r="Z15" i="2"/>
  <c r="AA15" i="2"/>
  <c r="W3" i="2"/>
  <c r="W4" i="2"/>
  <c r="W5" i="2"/>
  <c r="W6" i="2"/>
  <c r="W7" i="2"/>
  <c r="W8" i="2"/>
  <c r="W9" i="2"/>
  <c r="W10" i="2"/>
  <c r="W11" i="2"/>
  <c r="W12" i="2"/>
  <c r="W13" i="2"/>
  <c r="W14" i="2"/>
  <c r="W2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Z9" i="2"/>
  <c r="Y9" i="2"/>
  <c r="X9" i="2"/>
  <c r="AA9" i="2"/>
  <c r="Z8" i="2"/>
  <c r="Y8" i="2"/>
  <c r="X8" i="2"/>
  <c r="AA8" i="2"/>
  <c r="Z7" i="2"/>
  <c r="Y7" i="2"/>
  <c r="X7" i="2"/>
  <c r="AA7" i="2"/>
  <c r="Z6" i="2"/>
  <c r="Y6" i="2"/>
  <c r="X6" i="2"/>
  <c r="AA6" i="2"/>
  <c r="Z5" i="2"/>
  <c r="Y5" i="2"/>
  <c r="X5" i="2"/>
  <c r="AA5" i="2"/>
  <c r="Z4" i="2"/>
  <c r="Y4" i="2"/>
  <c r="X4" i="2"/>
  <c r="AA4" i="2"/>
  <c r="Z3" i="2"/>
  <c r="Y3" i="2"/>
  <c r="X3" i="2"/>
  <c r="AA3" i="2"/>
  <c r="Z2" i="2"/>
  <c r="Y2" i="2"/>
  <c r="X2" i="2"/>
  <c r="AA2" i="2"/>
  <c r="V2" i="2" l="1"/>
  <c r="V13" i="2"/>
  <c r="L5" i="2"/>
  <c r="L15" i="2"/>
  <c r="V10" i="2"/>
  <c r="K10" i="2"/>
  <c r="K9" i="2"/>
  <c r="V11" i="2"/>
  <c r="L14" i="2"/>
  <c r="V9" i="2"/>
  <c r="K13" i="2"/>
  <c r="K12" i="2"/>
  <c r="K6" i="2"/>
  <c r="K7" i="2"/>
  <c r="L3" i="2"/>
  <c r="V8" i="2"/>
  <c r="V3" i="2"/>
  <c r="V7" i="2"/>
  <c r="V6" i="2"/>
  <c r="L4" i="2"/>
  <c r="V4" i="2"/>
  <c r="L12" i="2"/>
  <c r="K11" i="2"/>
  <c r="B16" i="2"/>
  <c r="L9" i="2"/>
  <c r="L16" i="2"/>
  <c r="V16" i="2"/>
  <c r="K16" i="2"/>
  <c r="C16" i="2"/>
  <c r="C15" i="2"/>
  <c r="K15" i="2"/>
  <c r="L10" i="2"/>
  <c r="K4" i="2"/>
  <c r="K14" i="2"/>
  <c r="K3" i="2"/>
  <c r="K5" i="2"/>
  <c r="K8" i="2"/>
  <c r="L7" i="2"/>
  <c r="L6" i="2"/>
  <c r="L13" i="2"/>
  <c r="L8" i="2"/>
  <c r="V5" i="2"/>
  <c r="L11" i="2"/>
  <c r="V15" i="2"/>
  <c r="B15" i="2"/>
  <c r="V14" i="2"/>
  <c r="B14" i="2"/>
  <c r="B13" i="2"/>
  <c r="C14" i="2"/>
  <c r="C13" i="2"/>
  <c r="C3" i="2"/>
  <c r="C12" i="2"/>
  <c r="C11" i="2"/>
  <c r="C9" i="2"/>
  <c r="C4" i="2"/>
  <c r="B3" i="2"/>
  <c r="B5" i="2"/>
  <c r="B6" i="2"/>
  <c r="T6" i="2" s="1"/>
  <c r="B4" i="2"/>
  <c r="B7" i="2"/>
  <c r="B12" i="2"/>
  <c r="C10" i="2"/>
  <c r="C5" i="2"/>
  <c r="C6" i="2"/>
  <c r="B10" i="2"/>
  <c r="C7" i="2"/>
  <c r="B8" i="2"/>
  <c r="B11" i="2"/>
  <c r="C8" i="2"/>
  <c r="B9" i="2"/>
  <c r="V12" i="2"/>
  <c r="T7" i="2" l="1"/>
  <c r="U5" i="2"/>
  <c r="U15" i="2"/>
  <c r="U14" i="2"/>
  <c r="T10" i="2"/>
  <c r="T9" i="2"/>
  <c r="U3" i="2"/>
  <c r="U8" i="2"/>
  <c r="U7" i="2"/>
  <c r="T8" i="2"/>
  <c r="U4" i="2"/>
  <c r="U6" i="2"/>
  <c r="U10" i="2"/>
  <c r="T11" i="2"/>
  <c r="T4" i="2"/>
  <c r="U13" i="2"/>
  <c r="T16" i="2"/>
  <c r="U16" i="2"/>
  <c r="U9" i="2"/>
  <c r="U11" i="2"/>
  <c r="T5" i="2"/>
  <c r="T3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<sst xmlns="http://schemas.openxmlformats.org/spreadsheetml/2006/main" count="75" uniqueCount="29">
  <si>
    <t>H22</t>
  </si>
  <si>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</si>
  <si>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</si>
  <si>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</si>
  <si>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</si>
  <si>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</si>
  <si>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</si>
  <si>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</si>
  <si>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</si>
  <si>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</si>
  <si>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</si>
  <si>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</si>
  <si>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</si>
  <si>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</si>
  <si>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</si>
  <si>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</si>
  <si>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B</t>
    <phoneticPr fontId="2" type="noConversion"/>
  </si>
  <si>
    <t>A</t>
    <phoneticPr fontId="2" type="noConversion"/>
  </si>
  <si>
    <t>第一</t>
  </si>
  <si>
    <t>上一</t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</si>
  <si>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</si>
  <si>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</si>
  <si>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</si>
  <si>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</si>
  <si>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</si>
  <si>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</si>
  <si>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比较</t>
    <phoneticPr fontId="2" type="noConversion"/>
  </si>
  <si>
    <t>H36</t>
  </si>
  <si>
    <t>H37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</si>
</sst>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 wrapText="1"/>
    </xf>
    <xf numFmtId="176" fontId="0" fillId="0" borderId="2" xfId="0" applyNumberFormat="1" applyBorder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1" fillId="0" borderId="1" xfId="0" applyNumberFormat="1" applyFont="1" applyBorder="1" applyAlignment="1">
      <alignment horizontal="left" vertical="center" wrapText="1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0" fillId="0" borderId="1" xfId="0" applyNumberFormat="1" applyBorder="1" applyAlignment="1">
      <alignment horizontal="left" vertical="center" wrapText="1"/>
    </xf>
    <xf numFmtId="176" fontId="0" fillId="0" borderId="3" xfId="0" applyNumberFormat="1" applyBorder="1" applyAlignment="1">
      <alignment horizontal="left" vertical="center" wrapText="1"/>
    </xf>
    <xf numFmtId="176" fontId="0" fillId="0" borderId="4" xfId="0" applyNumberFormat="1" applyBorder="1" applyAlignment="1">
      <alignment horizontal="left" vertical="center" wrapText="1"/>
    </xf>
    <xf numFmtId="176" fontId="1" fillId="0" borderId="0" xfId="0" applyNumberFormat="1" applyFont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17"/>
  <sheetViews>
    <sheetView tabSelected="1" workbookViewId="0">
      <selection activeCell="Y17" sqref="Y17"/>
    </sheetView>
  </sheetViews>
  <sheetFormatPr defaultColWidth="7.625" defaultRowHeight="14.25" customHeight="1" x14ac:dyDescent="0.2"/>
  <cols>
    <col min="1" max="1" width="7.625" style="15"/>
    <col min="2" max="3" width="7.625" style="11"/>
    <col min="4" max="4" width="7.625" style="11" customWidth="1"/>
    <col min="5" max="8" width="7.625" style="11"/>
    <col min="9" max="9" width="7.625" style="12"/>
    <col min="10" max="10" width="7.625" style="15"/>
    <col min="11" max="17" width="7.625" style="11"/>
    <col min="18" max="18" width="7.625" style="12"/>
    <col min="19" max="19" width="7.625" style="15"/>
    <col min="20" max="26" width="7.625" style="11"/>
    <col min="27" max="27" width="7.625" style="12"/>
    <col min="28" max="28" width="7.625" style="15"/>
    <col min="29" max="16384" width="7.625" style="11"/>
  </cols>
  <sheetData>
    <row r="1" spans="1:27" ht="14.25" customHeight="1" x14ac:dyDescent="0.2">
      <c r="A1" s="13" t="s">
        <v>17</v>
      </c>
      <c r="B1" s="2" t="s">
        <v>18</v>
      </c>
      <c r="C1" s="2" t="s">
        <v>19</v>
      </c>
      <c r="D1" s="1" t="s">
        <v>20</v>
      </c>
      <c r="E1" s="2" t="s">
        <v>24</v>
      </c>
      <c r="F1" s="1" t="s">
        <v>11</v>
      </c>
      <c r="G1" s="1" t="s">
        <v>12</v>
      </c>
      <c r="H1" s="1" t="s">
        <v>13</v>
      </c>
      <c r="I1" s="3" t="s">
        <v>21</v>
      </c>
      <c r="J1" s="14" t="s">
        <v>16</v>
      </c>
      <c r="K1" s="2" t="s">
        <v>15</v>
      </c>
      <c r="L1" s="2" t="s">
        <v>14</v>
      </c>
      <c r="M1" s="1" t="s">
        <v>20</v>
      </c>
      <c r="N1" s="1" t="s">
        <v>24</v>
      </c>
      <c r="O1" s="1" t="s">
        <v>11</v>
      </c>
      <c r="P1" s="1" t="s">
        <v>12</v>
      </c>
      <c r="Q1" s="1" t="s">
        <v>13</v>
      </c>
      <c r="R1" s="3" t="s">
        <v>21</v>
      </c>
      <c r="S1" s="14" t="s">
        <v>26</v>
      </c>
      <c r="T1" s="2" t="s">
        <v>15</v>
      </c>
      <c r="U1" s="2" t="s">
        <v>14</v>
      </c>
      <c r="V1" s="1" t="s">
        <v>20</v>
      </c>
      <c r="W1" s="1" t="s">
        <v>24</v>
      </c>
      <c r="X1" s="1" t="s">
        <v>11</v>
      </c>
      <c r="Y1" s="1" t="s">
        <v>12</v>
      </c>
      <c r="Z1" s="1" t="s">
        <v>13</v>
      </c>
      <c r="AA1" s="3" t="s">
        <v>21</v>
      </c>
    </row>
    <row r="2" spans="1:27" ht="14.25" customHeight="1" x14ac:dyDescent="0.2">
      <c r="A2" s="16" t="s">
        <v>0</v>
      </c>
      <c r="B2" s="5">
        <v>1</v>
      </c>
      <c r="C2" s="5">
        <v>1</v>
      </c>
      <c r="D2" s="4">
        <f>SUM(F2:H2)</f>
        <v>401.53999999999996</v>
      </c>
      <c r="E2" s="5">
        <v>379.02</v>
      </c>
      <c r="F2" s="6">
        <v>142.38</v>
      </c>
      <c r="G2" s="6">
        <v>120.7</v>
      </c>
      <c r="H2" s="6">
        <v>138.46</v>
      </c>
      <c r="I2" s="7">
        <v>226.37</v>
      </c>
      <c r="J2" s="16" t="s">
        <v>0</v>
      </c>
      <c r="K2" s="5">
        <v>1</v>
      </c>
      <c r="L2" s="5">
        <v>1</v>
      </c>
      <c r="M2" s="4">
        <f>SUM(O2:Q2)</f>
        <v>35.099999999999994</v>
      </c>
      <c r="N2" s="5">
        <v>67.77</v>
      </c>
      <c r="O2" s="6">
        <v>5.3</v>
      </c>
      <c r="P2" s="6">
        <v>12.99</v>
      </c>
      <c r="Q2" s="6">
        <v>16.809999999999999</v>
      </c>
      <c r="R2" s="7">
        <v>28.39</v>
      </c>
      <c r="S2" s="16" t="s">
        <v>0</v>
      </c>
      <c r="T2" s="5">
        <f t="shared" ref="T2:T16" si="0">ROUND(B2/K2,3)</f>
        <v>1</v>
      </c>
      <c r="U2" s="5">
        <f t="shared" ref="U2:U16" si="1">ROUND(C2/L2,3)</f>
        <v>1</v>
      </c>
      <c r="V2" s="4">
        <f t="shared" ref="V2:V16" si="2">ROUND(D2/M2,3)</f>
        <v>11.44</v>
      </c>
      <c r="W2" s="5">
        <f t="shared" ref="W2:W14" si="3">ROUND(E2/N2,3)</f>
        <v>5.593</v>
      </c>
      <c r="X2" s="6">
        <f t="shared" ref="X2:X14" si="4">ROUND(F2/O2,3)</f>
        <v>26.864000000000001</v>
      </c>
      <c r="Y2" s="6">
        <f t="shared" ref="Y2:Y14" si="5">ROUND(G2/P2,3)</f>
        <v>9.2919999999999998</v>
      </c>
      <c r="Z2" s="6">
        <f t="shared" ref="Z2:Z14" si="6">ROUND(H2/Q2,3)</f>
        <v>8.2370000000000001</v>
      </c>
      <c r="AA2" s="7">
        <f t="shared" ref="AA2:AA14" si="7">ROUND(I2/R2,3)</f>
        <v>7.9740000000000002</v>
      </c>
    </row>
    <row r="3" spans="1:27" ht="14.25" customHeight="1" x14ac:dyDescent="0.2">
      <c r="A3" s="16" t="s">
        <v>1</v>
      </c>
      <c r="B3" s="2">
        <f>D$2/D3</f>
        <v>1.5459900666076312</v>
      </c>
      <c r="C3" s="2">
        <f>D2/D3</f>
        <v>1.5459900666076312</v>
      </c>
      <c r="D3" s="8">
        <f t="shared" ref="D3:D14" si="8">SUM(F3:H3)</f>
        <v>259.72999999999996</v>
      </c>
      <c r="E3" s="5">
        <v>379.46</v>
      </c>
      <c r="F3" s="6">
        <v>139.13</v>
      </c>
      <c r="G3" s="6">
        <v>118.16</v>
      </c>
      <c r="H3" s="1">
        <v>2.44</v>
      </c>
      <c r="I3" s="9">
        <v>227.29</v>
      </c>
      <c r="J3" s="16" t="s">
        <v>1</v>
      </c>
      <c r="K3" s="2">
        <f>M$2/M3</f>
        <v>1.9306930693069304</v>
      </c>
      <c r="L3" s="2">
        <f>M2/M3</f>
        <v>1.9306930693069304</v>
      </c>
      <c r="M3" s="8">
        <f t="shared" ref="M3:M16" si="9">SUM(O3:Q3)</f>
        <v>18.18</v>
      </c>
      <c r="N3" s="5">
        <v>68.98</v>
      </c>
      <c r="O3" s="6">
        <v>5.09</v>
      </c>
      <c r="P3" s="6">
        <v>12.62</v>
      </c>
      <c r="Q3" s="1">
        <v>0.47</v>
      </c>
      <c r="R3" s="9">
        <v>27.38</v>
      </c>
      <c r="S3" s="16" t="s">
        <v>1</v>
      </c>
      <c r="T3" s="2">
        <f t="shared" si="0"/>
        <v>0.80100000000000005</v>
      </c>
      <c r="U3" s="2">
        <f t="shared" si="1"/>
        <v>0.80100000000000005</v>
      </c>
      <c r="V3" s="8">
        <f t="shared" si="2"/>
        <v>14.287000000000001</v>
      </c>
      <c r="W3" s="5">
        <f t="shared" si="3"/>
        <v>5.5010000000000003</v>
      </c>
      <c r="X3" s="6">
        <f t="shared" si="4"/>
        <v>27.334</v>
      </c>
      <c r="Y3" s="6">
        <f t="shared" si="5"/>
        <v>9.3629999999999995</v>
      </c>
      <c r="Z3" s="1">
        <f t="shared" si="6"/>
        <v>5.1909999999999998</v>
      </c>
      <c r="AA3" s="9">
        <f t="shared" si="7"/>
        <v>8.3010000000000002</v>
      </c>
    </row>
    <row r="4" spans="1:27" ht="14.25" customHeight="1" x14ac:dyDescent="0.2">
      <c r="A4" s="16" t="s">
        <v>2</v>
      </c>
      <c r="B4" s="2">
        <f t="shared" ref="B4:B12" si="10">D$2/D4</f>
        <v>1.9822283655032826</v>
      </c>
      <c r="C4" s="2">
        <f t="shared" ref="C4:C12" si="11">D3/D4</f>
        <v>1.2821740632867649</v>
      </c>
      <c r="D4" s="8">
        <f t="shared" si="8"/>
        <v>202.57</v>
      </c>
      <c r="E4" s="5">
        <v>364.8</v>
      </c>
      <c r="F4" s="1">
        <v>74.77</v>
      </c>
      <c r="G4" s="6">
        <v>125.29</v>
      </c>
      <c r="H4" s="6">
        <v>2.5099999999999998</v>
      </c>
      <c r="I4" s="7">
        <v>222.02</v>
      </c>
      <c r="J4" s="16" t="s">
        <v>2</v>
      </c>
      <c r="K4" s="2">
        <f t="shared" ref="K4:K12" si="12">M$2/M4</f>
        <v>2.0671378091872787</v>
      </c>
      <c r="L4" s="2">
        <f t="shared" ref="L4:L12" si="13">M3/M4</f>
        <v>1.0706713780918728</v>
      </c>
      <c r="M4" s="8">
        <f t="shared" si="9"/>
        <v>16.98</v>
      </c>
      <c r="N4" s="5">
        <v>68.959999999999994</v>
      </c>
      <c r="O4" s="1">
        <v>3.8</v>
      </c>
      <c r="P4" s="6">
        <v>12.7</v>
      </c>
      <c r="Q4" s="6">
        <v>0.48</v>
      </c>
      <c r="R4" s="7">
        <v>27.4</v>
      </c>
      <c r="S4" s="16" t="s">
        <v>2</v>
      </c>
      <c r="T4" s="2">
        <f t="shared" si="0"/>
        <v>0.95899999999999996</v>
      </c>
      <c r="U4" s="2">
        <f t="shared" si="1"/>
        <v>1.198</v>
      </c>
      <c r="V4" s="8">
        <f t="shared" si="2"/>
        <v>11.93</v>
      </c>
      <c r="W4" s="5">
        <f t="shared" si="3"/>
        <v>5.29</v>
      </c>
      <c r="X4" s="1">
        <f t="shared" si="4"/>
        <v>19.675999999999998</v>
      </c>
      <c r="Y4" s="6">
        <f t="shared" si="5"/>
        <v>9.8650000000000002</v>
      </c>
      <c r="Z4" s="6">
        <f t="shared" si="6"/>
        <v>5.2290000000000001</v>
      </c>
      <c r="AA4" s="7">
        <f t="shared" si="7"/>
        <v>8.1029999999999998</v>
      </c>
    </row>
    <row r="5" spans="1:27" ht="14.25" customHeight="1" x14ac:dyDescent="0.2">
      <c r="A5" s="16" t="s">
        <v>3</v>
      </c>
      <c r="B5" s="2">
        <f t="shared" si="10"/>
        <v>2.2621971830985914</v>
      </c>
      <c r="C5" s="2">
        <f t="shared" si="11"/>
        <v>1.1412394366197183</v>
      </c>
      <c r="D5" s="8">
        <f t="shared" si="8"/>
        <v>177.5</v>
      </c>
      <c r="E5" s="5">
        <v>379.87</v>
      </c>
      <c r="F5" s="6">
        <v>75.06</v>
      </c>
      <c r="G5" s="1">
        <v>100.06</v>
      </c>
      <c r="H5" s="6">
        <v>2.38</v>
      </c>
      <c r="I5" s="7">
        <v>221.9</v>
      </c>
      <c r="J5" s="16" t="s">
        <v>3</v>
      </c>
      <c r="K5" s="2">
        <f t="shared" si="12"/>
        <v>3.7741935483870961</v>
      </c>
      <c r="L5" s="2">
        <f t="shared" si="13"/>
        <v>1.8258064516129031</v>
      </c>
      <c r="M5" s="8">
        <f t="shared" si="9"/>
        <v>9.3000000000000007</v>
      </c>
      <c r="N5" s="5">
        <v>67.48</v>
      </c>
      <c r="O5" s="6">
        <v>3.79</v>
      </c>
      <c r="P5" s="1">
        <v>5.03</v>
      </c>
      <c r="Q5" s="6">
        <v>0.48</v>
      </c>
      <c r="R5" s="7">
        <v>27.22</v>
      </c>
      <c r="S5" s="16" t="s">
        <v>3</v>
      </c>
      <c r="T5" s="2">
        <f t="shared" si="0"/>
        <v>0.59899999999999998</v>
      </c>
      <c r="U5" s="2">
        <f t="shared" si="1"/>
        <v>0.625</v>
      </c>
      <c r="V5" s="8">
        <f t="shared" si="2"/>
        <v>19.085999999999999</v>
      </c>
      <c r="W5" s="5">
        <f t="shared" si="3"/>
        <v>5.6289999999999996</v>
      </c>
      <c r="X5" s="6">
        <f t="shared" si="4"/>
        <v>19.805</v>
      </c>
      <c r="Y5" s="1">
        <f t="shared" si="5"/>
        <v>19.893000000000001</v>
      </c>
      <c r="Z5" s="6">
        <f t="shared" si="6"/>
        <v>4.9580000000000002</v>
      </c>
      <c r="AA5" s="7">
        <f t="shared" si="7"/>
        <v>8.1519999999999992</v>
      </c>
    </row>
    <row r="6" spans="1:27" ht="14.25" customHeight="1" x14ac:dyDescent="0.2">
      <c r="A6" s="16" t="s">
        <v>4</v>
      </c>
      <c r="B6" s="5">
        <f t="shared" si="10"/>
        <v>2.3345348837209294</v>
      </c>
      <c r="C6" s="5">
        <f t="shared" si="11"/>
        <v>1.0319767441860463</v>
      </c>
      <c r="D6" s="4">
        <f t="shared" si="8"/>
        <v>172.00000000000003</v>
      </c>
      <c r="E6" s="5">
        <v>361.21</v>
      </c>
      <c r="F6" s="6">
        <v>73.44</v>
      </c>
      <c r="G6" s="6">
        <v>96.29</v>
      </c>
      <c r="H6" s="10">
        <v>2.27</v>
      </c>
      <c r="I6" s="3">
        <v>80.819999999999993</v>
      </c>
      <c r="J6" s="16" t="s">
        <v>4</v>
      </c>
      <c r="K6" s="5">
        <f t="shared" si="12"/>
        <v>3.7864077669902909</v>
      </c>
      <c r="L6" s="5">
        <f t="shared" si="13"/>
        <v>1.0032362459546926</v>
      </c>
      <c r="M6" s="4">
        <f t="shared" si="9"/>
        <v>9.27</v>
      </c>
      <c r="N6" s="5">
        <v>67.34</v>
      </c>
      <c r="O6" s="6">
        <v>3.79</v>
      </c>
      <c r="P6" s="6">
        <v>5</v>
      </c>
      <c r="Q6" s="10">
        <v>0.48</v>
      </c>
      <c r="R6" s="3">
        <v>4.5599999999999996</v>
      </c>
      <c r="S6" s="16" t="s">
        <v>4</v>
      </c>
      <c r="T6" s="5">
        <f t="shared" si="0"/>
        <v>0.61699999999999999</v>
      </c>
      <c r="U6" s="5">
        <f t="shared" si="1"/>
        <v>1.0289999999999999</v>
      </c>
      <c r="V6" s="4">
        <f t="shared" si="2"/>
        <v>18.553999999999998</v>
      </c>
      <c r="W6" s="5">
        <f t="shared" si="3"/>
        <v>5.3639999999999999</v>
      </c>
      <c r="X6" s="6">
        <f t="shared" si="4"/>
        <v>19.376999999999999</v>
      </c>
      <c r="Y6" s="6">
        <f t="shared" si="5"/>
        <v>19.257999999999999</v>
      </c>
      <c r="Z6" s="10">
        <f t="shared" si="6"/>
        <v>4.7290000000000001</v>
      </c>
      <c r="AA6" s="3">
        <f t="shared" si="7"/>
        <v>17.724</v>
      </c>
    </row>
    <row r="7" spans="1:27" ht="14.25" customHeight="1" x14ac:dyDescent="0.2">
      <c r="A7" s="16" t="s">
        <v>5</v>
      </c>
      <c r="B7" s="5">
        <f t="shared" si="10"/>
        <v>2.1703691692340952</v>
      </c>
      <c r="C7" s="5">
        <f t="shared" si="11"/>
        <v>0.92967947678503882</v>
      </c>
      <c r="D7" s="4">
        <f t="shared" si="8"/>
        <v>185.01</v>
      </c>
      <c r="E7" s="5">
        <v>377.51</v>
      </c>
      <c r="F7" s="6">
        <v>82.34</v>
      </c>
      <c r="G7" s="6">
        <v>101.48</v>
      </c>
      <c r="H7" s="1">
        <v>1.19</v>
      </c>
      <c r="I7" s="7">
        <v>82.8</v>
      </c>
      <c r="J7" s="16" t="s">
        <v>5</v>
      </c>
      <c r="K7" s="5">
        <f t="shared" si="12"/>
        <v>3.908685968819599</v>
      </c>
      <c r="L7" s="5">
        <f t="shared" si="13"/>
        <v>1.0322939866369711</v>
      </c>
      <c r="M7" s="4">
        <f t="shared" si="9"/>
        <v>8.9799999999999986</v>
      </c>
      <c r="N7" s="5">
        <v>77.61</v>
      </c>
      <c r="O7" s="6">
        <v>3.68</v>
      </c>
      <c r="P7" s="6">
        <v>5.0999999999999996</v>
      </c>
      <c r="Q7" s="1">
        <v>0.2</v>
      </c>
      <c r="R7" s="7">
        <v>4.57</v>
      </c>
      <c r="S7" s="16" t="s">
        <v>5</v>
      </c>
      <c r="T7" s="5">
        <f t="shared" si="0"/>
        <v>0.55500000000000005</v>
      </c>
      <c r="U7" s="5">
        <f t="shared" si="1"/>
        <v>0.90100000000000002</v>
      </c>
      <c r="V7" s="4">
        <f t="shared" si="2"/>
        <v>20.602</v>
      </c>
      <c r="W7" s="5">
        <f t="shared" si="3"/>
        <v>4.8639999999999999</v>
      </c>
      <c r="X7" s="6">
        <f t="shared" si="4"/>
        <v>22.375</v>
      </c>
      <c r="Y7" s="6">
        <f t="shared" si="5"/>
        <v>19.898</v>
      </c>
      <c r="Z7" s="1">
        <f t="shared" si="6"/>
        <v>5.95</v>
      </c>
      <c r="AA7" s="7">
        <f t="shared" si="7"/>
        <v>18.117999999999999</v>
      </c>
    </row>
    <row r="8" spans="1:27" ht="14.25" customHeight="1" x14ac:dyDescent="0.2">
      <c r="A8" s="16" t="s">
        <v>6</v>
      </c>
      <c r="B8" s="5">
        <f t="shared" si="10"/>
        <v>2.1691966938577059</v>
      </c>
      <c r="C8" s="5">
        <f t="shared" si="11"/>
        <v>0.99945978067095231</v>
      </c>
      <c r="D8" s="4">
        <f t="shared" si="8"/>
        <v>185.11</v>
      </c>
      <c r="E8" s="5">
        <v>492.18</v>
      </c>
      <c r="F8" s="6">
        <v>82.65</v>
      </c>
      <c r="G8" s="6">
        <v>101.41</v>
      </c>
      <c r="H8" s="6">
        <v>1.05</v>
      </c>
      <c r="I8" s="7">
        <v>82.93</v>
      </c>
      <c r="J8" s="16" t="s">
        <v>6</v>
      </c>
      <c r="K8" s="5">
        <f t="shared" si="12"/>
        <v>3.9795918367346932</v>
      </c>
      <c r="L8" s="5">
        <f t="shared" si="13"/>
        <v>1.0181405895691609</v>
      </c>
      <c r="M8" s="4">
        <f t="shared" si="9"/>
        <v>8.82</v>
      </c>
      <c r="N8" s="5">
        <v>96.53</v>
      </c>
      <c r="O8" s="6">
        <v>3.62</v>
      </c>
      <c r="P8" s="6">
        <v>5</v>
      </c>
      <c r="Q8" s="6">
        <v>0.2</v>
      </c>
      <c r="R8" s="7">
        <v>4.47</v>
      </c>
      <c r="S8" s="16" t="s">
        <v>6</v>
      </c>
      <c r="T8" s="5">
        <f t="shared" si="0"/>
        <v>0.54500000000000004</v>
      </c>
      <c r="U8" s="5">
        <f t="shared" si="1"/>
        <v>0.98199999999999998</v>
      </c>
      <c r="V8" s="4">
        <f t="shared" si="2"/>
        <v>20.988</v>
      </c>
      <c r="W8" s="5">
        <f t="shared" si="3"/>
        <v>5.0990000000000002</v>
      </c>
      <c r="X8" s="6">
        <f t="shared" si="4"/>
        <v>22.831</v>
      </c>
      <c r="Y8" s="6">
        <f t="shared" si="5"/>
        <v>20.282</v>
      </c>
      <c r="Z8" s="6">
        <f t="shared" si="6"/>
        <v>5.25</v>
      </c>
      <c r="AA8" s="7">
        <f t="shared" si="7"/>
        <v>18.553000000000001</v>
      </c>
    </row>
    <row r="9" spans="1:27" ht="14.25" customHeight="1" x14ac:dyDescent="0.2">
      <c r="A9" s="16" t="s">
        <v>7</v>
      </c>
      <c r="B9" s="5">
        <f t="shared" si="10"/>
        <v>2.2096632181377944</v>
      </c>
      <c r="C9" s="5">
        <f t="shared" si="11"/>
        <v>1.0186550737398197</v>
      </c>
      <c r="D9" s="4">
        <f t="shared" si="8"/>
        <v>181.71999999999997</v>
      </c>
      <c r="E9" s="5">
        <v>489.21</v>
      </c>
      <c r="F9" s="6">
        <v>81.44</v>
      </c>
      <c r="G9" s="6">
        <v>99.21</v>
      </c>
      <c r="H9" s="6">
        <v>1.07</v>
      </c>
      <c r="I9" s="7">
        <v>80.959999999999994</v>
      </c>
      <c r="J9" s="16" t="s">
        <v>7</v>
      </c>
      <c r="K9" s="5">
        <f t="shared" si="12"/>
        <v>4.0391254315304943</v>
      </c>
      <c r="L9" s="5">
        <f t="shared" si="13"/>
        <v>1.0149597238204835</v>
      </c>
      <c r="M9" s="4">
        <f t="shared" si="9"/>
        <v>8.69</v>
      </c>
      <c r="N9" s="5">
        <v>91.73</v>
      </c>
      <c r="O9" s="6">
        <v>3.57</v>
      </c>
      <c r="P9" s="6">
        <v>4.92</v>
      </c>
      <c r="Q9" s="6">
        <v>0.2</v>
      </c>
      <c r="R9" s="7">
        <v>4.4400000000000004</v>
      </c>
      <c r="S9" s="16" t="s">
        <v>7</v>
      </c>
      <c r="T9" s="5">
        <f t="shared" si="0"/>
        <v>0.54700000000000004</v>
      </c>
      <c r="U9" s="5">
        <f t="shared" si="1"/>
        <v>1.004</v>
      </c>
      <c r="V9" s="4">
        <f t="shared" si="2"/>
        <v>20.911000000000001</v>
      </c>
      <c r="W9" s="5">
        <f t="shared" si="3"/>
        <v>5.3330000000000002</v>
      </c>
      <c r="X9" s="6">
        <f t="shared" si="4"/>
        <v>22.812000000000001</v>
      </c>
      <c r="Y9" s="6">
        <f t="shared" si="5"/>
        <v>20.164999999999999</v>
      </c>
      <c r="Z9" s="6">
        <f t="shared" si="6"/>
        <v>5.35</v>
      </c>
      <c r="AA9" s="7">
        <f t="shared" si="7"/>
        <v>18.234000000000002</v>
      </c>
    </row>
    <row r="10" spans="1:27" ht="14.25" customHeight="1" x14ac:dyDescent="0.2">
      <c r="A10" s="16" t="s">
        <v>8</v>
      </c>
      <c r="B10" s="5">
        <f t="shared" si="10"/>
        <v>2.2138052707023927</v>
      </c>
      <c r="C10" s="5">
        <f t="shared" si="11"/>
        <v>1.0018745175873855</v>
      </c>
      <c r="D10" s="4">
        <f t="shared" si="8"/>
        <v>181.38</v>
      </c>
      <c r="E10" s="2">
        <v>249.29</v>
      </c>
      <c r="F10" s="6">
        <v>81.16</v>
      </c>
      <c r="G10" s="6">
        <v>99</v>
      </c>
      <c r="H10" s="10">
        <v>1.22</v>
      </c>
      <c r="I10" s="7">
        <v>80.72</v>
      </c>
      <c r="J10" s="16" t="s">
        <v>8</v>
      </c>
      <c r="K10" s="5">
        <f t="shared" si="12"/>
        <v>3.9705882352941169</v>
      </c>
      <c r="L10" s="5">
        <f t="shared" si="13"/>
        <v>0.98303167420814475</v>
      </c>
      <c r="M10" s="4">
        <f t="shared" si="9"/>
        <v>8.84</v>
      </c>
      <c r="N10" s="2">
        <v>76.53</v>
      </c>
      <c r="O10" s="6">
        <v>3.62</v>
      </c>
      <c r="P10" s="6">
        <v>5.0199999999999996</v>
      </c>
      <c r="Q10" s="10">
        <v>0.2</v>
      </c>
      <c r="R10" s="7">
        <v>4.54</v>
      </c>
      <c r="S10" s="16" t="s">
        <v>8</v>
      </c>
      <c r="T10" s="5">
        <f t="shared" si="0"/>
        <v>0.55800000000000005</v>
      </c>
      <c r="U10" s="5">
        <f t="shared" si="1"/>
        <v>1.0189999999999999</v>
      </c>
      <c r="V10" s="4">
        <f t="shared" si="2"/>
        <v>20.518000000000001</v>
      </c>
      <c r="W10" s="2">
        <f t="shared" si="3"/>
        <v>3.2570000000000001</v>
      </c>
      <c r="X10" s="6">
        <f t="shared" si="4"/>
        <v>22.42</v>
      </c>
      <c r="Y10" s="6">
        <f t="shared" si="5"/>
        <v>19.721</v>
      </c>
      <c r="Z10" s="10">
        <f t="shared" si="6"/>
        <v>6.1</v>
      </c>
      <c r="AA10" s="7">
        <f t="shared" si="7"/>
        <v>17.78</v>
      </c>
    </row>
    <row r="11" spans="1:27" ht="14.25" customHeight="1" x14ac:dyDescent="0.2">
      <c r="A11" s="16" t="s">
        <v>9</v>
      </c>
      <c r="B11" s="2">
        <f t="shared" si="10"/>
        <v>2.7188028979619472</v>
      </c>
      <c r="C11" s="2">
        <f t="shared" si="11"/>
        <v>1.2281129392646759</v>
      </c>
      <c r="D11" s="8">
        <f t="shared" si="8"/>
        <v>147.69</v>
      </c>
      <c r="E11" s="5">
        <v>215.95</v>
      </c>
      <c r="F11" s="1">
        <v>43.93</v>
      </c>
      <c r="G11" s="6">
        <v>102.58</v>
      </c>
      <c r="H11" s="6">
        <v>1.18</v>
      </c>
      <c r="I11" s="9">
        <v>90.86</v>
      </c>
      <c r="J11" s="16" t="s">
        <v>9</v>
      </c>
      <c r="K11" s="2">
        <f t="shared" si="12"/>
        <v>4.3120393120393112</v>
      </c>
      <c r="L11" s="2">
        <f t="shared" si="13"/>
        <v>1.085995085995086</v>
      </c>
      <c r="M11" s="8">
        <f t="shared" si="9"/>
        <v>8.14</v>
      </c>
      <c r="N11" s="5">
        <v>76.48</v>
      </c>
      <c r="O11" s="1">
        <v>1.45</v>
      </c>
      <c r="P11" s="6">
        <v>6.49</v>
      </c>
      <c r="Q11" s="6">
        <v>0.2</v>
      </c>
      <c r="R11" s="9">
        <v>6.06</v>
      </c>
      <c r="S11" s="16" t="s">
        <v>9</v>
      </c>
      <c r="T11" s="2">
        <f t="shared" si="0"/>
        <v>0.63100000000000001</v>
      </c>
      <c r="U11" s="2">
        <f t="shared" si="1"/>
        <v>1.131</v>
      </c>
      <c r="V11" s="8">
        <f t="shared" si="2"/>
        <v>18.143999999999998</v>
      </c>
      <c r="W11" s="5">
        <f t="shared" si="3"/>
        <v>2.8239999999999998</v>
      </c>
      <c r="X11" s="1">
        <f t="shared" si="4"/>
        <v>30.297000000000001</v>
      </c>
      <c r="Y11" s="6">
        <f t="shared" si="5"/>
        <v>15.805999999999999</v>
      </c>
      <c r="Z11" s="6">
        <f t="shared" si="6"/>
        <v>5.9</v>
      </c>
      <c r="AA11" s="9">
        <f t="shared" si="7"/>
        <v>14.993</v>
      </c>
    </row>
    <row r="12" spans="1:27" ht="14.25" customHeight="1" x14ac:dyDescent="0.2">
      <c r="A12" s="16" t="s">
        <v>10</v>
      </c>
      <c r="B12" s="2">
        <f t="shared" si="10"/>
        <v>2.9416849816849813</v>
      </c>
      <c r="C12" s="2">
        <f t="shared" si="11"/>
        <v>1.081978021978022</v>
      </c>
      <c r="D12" s="8">
        <f t="shared" si="8"/>
        <v>136.5</v>
      </c>
      <c r="E12" s="5">
        <v>217.24</v>
      </c>
      <c r="F12" s="10">
        <v>45.28</v>
      </c>
      <c r="G12" s="1">
        <v>90.1</v>
      </c>
      <c r="H12" s="6">
        <v>1.1200000000000001</v>
      </c>
      <c r="I12" s="3">
        <v>73.63</v>
      </c>
      <c r="J12" s="16" t="s">
        <v>10</v>
      </c>
      <c r="K12" s="2">
        <f t="shared" si="12"/>
        <v>5.5802861685214618</v>
      </c>
      <c r="L12" s="2">
        <f t="shared" si="13"/>
        <v>1.2941176470588236</v>
      </c>
      <c r="M12" s="8">
        <f t="shared" si="9"/>
        <v>6.29</v>
      </c>
      <c r="N12" s="5">
        <v>75.3</v>
      </c>
      <c r="O12" s="10">
        <v>1.27</v>
      </c>
      <c r="P12" s="1">
        <v>4.82</v>
      </c>
      <c r="Q12" s="6">
        <v>0.2</v>
      </c>
      <c r="R12" s="3">
        <v>4.05</v>
      </c>
      <c r="S12" s="16" t="s">
        <v>10</v>
      </c>
      <c r="T12" s="2">
        <f t="shared" si="0"/>
        <v>0.52700000000000002</v>
      </c>
      <c r="U12" s="2">
        <f t="shared" si="1"/>
        <v>0.83599999999999997</v>
      </c>
      <c r="V12" s="8">
        <f t="shared" si="2"/>
        <v>21.701000000000001</v>
      </c>
      <c r="W12" s="5">
        <f t="shared" si="3"/>
        <v>2.8849999999999998</v>
      </c>
      <c r="X12" s="10">
        <f t="shared" si="4"/>
        <v>35.654000000000003</v>
      </c>
      <c r="Y12" s="1">
        <f t="shared" si="5"/>
        <v>18.693000000000001</v>
      </c>
      <c r="Z12" s="6">
        <f t="shared" si="6"/>
        <v>5.6</v>
      </c>
      <c r="AA12" s="3">
        <f t="shared" si="7"/>
        <v>18.18</v>
      </c>
    </row>
    <row r="13" spans="1:27" ht="14.25" customHeight="1" x14ac:dyDescent="0.2">
      <c r="A13" s="17" t="s">
        <v>22</v>
      </c>
      <c r="B13" s="2">
        <f t="shared" ref="B13:B14" si="14">D$2/D13</f>
        <v>3.4176525661758448</v>
      </c>
      <c r="C13" s="2">
        <f t="shared" ref="C13:C14" si="15">D12/D13</f>
        <v>1.1618010043407949</v>
      </c>
      <c r="D13" s="8">
        <f t="shared" si="8"/>
        <v>117.49</v>
      </c>
      <c r="E13" s="5">
        <v>217.95</v>
      </c>
      <c r="F13" s="1">
        <v>26.86</v>
      </c>
      <c r="G13" s="10">
        <v>89.56</v>
      </c>
      <c r="H13" s="6">
        <v>1.07</v>
      </c>
      <c r="I13" s="9">
        <v>73.39</v>
      </c>
      <c r="J13" s="17" t="s">
        <v>22</v>
      </c>
      <c r="K13" s="2">
        <f t="shared" ref="K13:K14" si="16">M$2/M13</f>
        <v>5.8892617449664417</v>
      </c>
      <c r="L13" s="2">
        <f t="shared" ref="L13:L14" si="17">M12/M13</f>
        <v>1.0553691275167785</v>
      </c>
      <c r="M13" s="8">
        <f t="shared" si="9"/>
        <v>5.96</v>
      </c>
      <c r="N13" s="5">
        <v>75.64</v>
      </c>
      <c r="O13" s="1">
        <v>0.89</v>
      </c>
      <c r="P13" s="10">
        <v>4.87</v>
      </c>
      <c r="Q13" s="6">
        <v>0.2</v>
      </c>
      <c r="R13" s="9">
        <v>4.08</v>
      </c>
      <c r="S13" s="17" t="s">
        <v>22</v>
      </c>
      <c r="T13" s="2">
        <f t="shared" si="0"/>
        <v>0.57999999999999996</v>
      </c>
      <c r="U13" s="2">
        <f t="shared" si="1"/>
        <v>1.101</v>
      </c>
      <c r="V13" s="8">
        <f t="shared" si="2"/>
        <v>19.713000000000001</v>
      </c>
      <c r="W13" s="5">
        <f t="shared" si="3"/>
        <v>2.8809999999999998</v>
      </c>
      <c r="X13" s="1">
        <f t="shared" si="4"/>
        <v>30.18</v>
      </c>
      <c r="Y13" s="10">
        <f t="shared" si="5"/>
        <v>18.39</v>
      </c>
      <c r="Z13" s="6">
        <f t="shared" si="6"/>
        <v>5.35</v>
      </c>
      <c r="AA13" s="9">
        <f t="shared" si="7"/>
        <v>17.988</v>
      </c>
    </row>
    <row r="14" spans="1:27" ht="14.25" customHeight="1" x14ac:dyDescent="0.2">
      <c r="A14" s="18" t="s">
        <v>23</v>
      </c>
      <c r="B14" s="5">
        <f t="shared" si="14"/>
        <v>3.4684287812041115</v>
      </c>
      <c r="C14" s="5">
        <f t="shared" si="15"/>
        <v>1.0148570441392415</v>
      </c>
      <c r="D14" s="4">
        <f t="shared" si="8"/>
        <v>115.77</v>
      </c>
      <c r="E14" s="5">
        <v>217.66</v>
      </c>
      <c r="F14" s="1">
        <v>25.05</v>
      </c>
      <c r="G14" s="10">
        <v>89.65</v>
      </c>
      <c r="H14" s="6">
        <v>1.07</v>
      </c>
      <c r="I14" s="9">
        <v>73.08</v>
      </c>
      <c r="J14" s="18" t="s">
        <v>23</v>
      </c>
      <c r="K14" s="5">
        <f t="shared" si="16"/>
        <v>5.9795570698466767</v>
      </c>
      <c r="L14" s="5">
        <f t="shared" si="17"/>
        <v>1.0153321976149914</v>
      </c>
      <c r="M14" s="4">
        <f t="shared" si="9"/>
        <v>5.87</v>
      </c>
      <c r="N14" s="5">
        <v>76.8</v>
      </c>
      <c r="O14" s="1">
        <v>0.85</v>
      </c>
      <c r="P14" s="10">
        <v>4.83</v>
      </c>
      <c r="Q14" s="6">
        <v>0.19</v>
      </c>
      <c r="R14" s="9">
        <v>4.0199999999999996</v>
      </c>
      <c r="S14" s="18" t="s">
        <v>23</v>
      </c>
      <c r="T14" s="5">
        <f t="shared" si="0"/>
        <v>0.57999999999999996</v>
      </c>
      <c r="U14" s="5">
        <f t="shared" si="1"/>
        <v>1</v>
      </c>
      <c r="V14" s="4">
        <f t="shared" si="2"/>
        <v>19.722000000000001</v>
      </c>
      <c r="W14" s="5">
        <f t="shared" si="3"/>
        <v>2.8340000000000001</v>
      </c>
      <c r="X14" s="1">
        <f t="shared" si="4"/>
        <v>29.471</v>
      </c>
      <c r="Y14" s="10">
        <f t="shared" si="5"/>
        <v>18.561</v>
      </c>
      <c r="Z14" s="6">
        <f t="shared" si="6"/>
        <v>5.6319999999999997</v>
      </c>
      <c r="AA14" s="9">
        <f t="shared" si="7"/>
        <v>18.178999999999998</v>
      </c>
    </row>
    <row r="15" spans="1:27" ht="14.25" customHeight="1" x14ac:dyDescent="0.2">
      <c r="A15" s="18" t="s">
        <v>25</v>
      </c>
      <c r="B15" s="2">
        <f t="shared" ref="B15" si="18">D$2/D15</f>
        <v>4.1558683502380456</v>
      </c>
      <c r="C15" s="2">
        <f t="shared" ref="C15" si="19">D14/D15</f>
        <v>1.1981991306147797</v>
      </c>
      <c r="D15" s="8">
        <f>SUM(F15:H15)</f>
        <v>96.61999999999999</v>
      </c>
      <c r="E15" s="5">
        <v>223.26</v>
      </c>
      <c r="F15" s="10">
        <v>24.74</v>
      </c>
      <c r="G15" s="1">
        <v>70.88</v>
      </c>
      <c r="H15" s="6">
        <v>1</v>
      </c>
      <c r="I15" s="3">
        <v>50.94</v>
      </c>
      <c r="J15" s="18" t="s">
        <v>25</v>
      </c>
      <c r="K15" s="2">
        <f t="shared" ref="K15" si="20">M$2/M15</f>
        <v>6.4640883977900545</v>
      </c>
      <c r="L15" s="2">
        <f t="shared" ref="L15" si="21">M14/M15</f>
        <v>1.0810313075506446</v>
      </c>
      <c r="M15" s="8">
        <f t="shared" si="9"/>
        <v>5.43</v>
      </c>
      <c r="N15" s="5">
        <v>76.180000000000007</v>
      </c>
      <c r="O15" s="10">
        <v>0.84</v>
      </c>
      <c r="P15" s="1">
        <v>4.38</v>
      </c>
      <c r="Q15" s="6">
        <v>0.21</v>
      </c>
      <c r="R15" s="3">
        <v>3.75</v>
      </c>
      <c r="S15" s="18" t="s">
        <v>25</v>
      </c>
      <c r="T15" s="2">
        <f t="shared" si="0"/>
        <v>0.64300000000000002</v>
      </c>
      <c r="U15" s="2">
        <f t="shared" si="1"/>
        <v>1.1080000000000001</v>
      </c>
      <c r="V15" s="8">
        <f t="shared" si="2"/>
        <v>17.794</v>
      </c>
      <c r="W15" s="5">
        <f>ROUND(E15/N15,3)</f>
        <v>2.931</v>
      </c>
      <c r="X15" s="10">
        <f>ROUND(F15/O15,3)</f>
        <v>29.452000000000002</v>
      </c>
      <c r="Y15" s="1">
        <f>ROUND(G15/P15,3)</f>
        <v>16.183</v>
      </c>
      <c r="Z15" s="6">
        <f>ROUND(H15/Q15,3)</f>
        <v>4.7619999999999996</v>
      </c>
      <c r="AA15" s="3">
        <f>ROUND(I15/R15,3)</f>
        <v>13.584</v>
      </c>
    </row>
    <row r="16" spans="1:27" ht="14.25" customHeight="1" x14ac:dyDescent="0.2">
      <c r="A16" s="18" t="s">
        <v>27</v>
      </c>
      <c r="B16" s="5">
        <f t="shared" ref="B16" si="22">D$2/D16</f>
        <v>3.9693554764729138</v>
      </c>
      <c r="C16" s="5">
        <f t="shared" ref="C16" si="23">D15/D16</f>
        <v>0.95512060102807428</v>
      </c>
      <c r="D16" s="4">
        <f>SUM(F16:H16)</f>
        <v>101.16</v>
      </c>
      <c r="E16" s="19">
        <v>223.91</v>
      </c>
      <c r="F16" s="11">
        <v>26.58</v>
      </c>
      <c r="G16" s="11">
        <v>73.55</v>
      </c>
      <c r="H16" s="11">
        <v>1.03</v>
      </c>
      <c r="I16" s="12">
        <v>52.04</v>
      </c>
      <c r="J16" s="18" t="s">
        <v>27</v>
      </c>
      <c r="K16" s="5">
        <f t="shared" ref="K16" si="24">M$2/M16</f>
        <v>6.4403669724770634</v>
      </c>
      <c r="L16" s="5">
        <f t="shared" ref="L16" si="25">M15/M16</f>
        <v>0.99633027522935769</v>
      </c>
      <c r="M16" s="4">
        <f t="shared" si="9"/>
        <v>5.45</v>
      </c>
      <c r="N16" s="1">
        <v>14.05</v>
      </c>
      <c r="O16" s="6">
        <v>0.86</v>
      </c>
      <c r="P16" s="6">
        <v>4.38</v>
      </c>
      <c r="Q16" s="6">
        <v>0.21</v>
      </c>
      <c r="R16" s="7">
        <v>3.75</v>
      </c>
      <c r="S16" s="18" t="s">
        <v>27</v>
      </c>
      <c r="T16" s="2">
        <f t="shared" si="0"/>
        <v>0.61599999999999999</v>
      </c>
      <c r="U16" s="2">
        <f t="shared" si="1"/>
        <v>0.95899999999999996</v>
      </c>
      <c r="V16" s="8">
        <f t="shared" si="2"/>
        <v>18.561</v>
      </c>
      <c r="W16" s="2">
        <f>ROUND(E16/N16,3)</f>
        <v>15.936999999999999</v>
      </c>
      <c r="X16" s="10">
        <f>ROUND(F16/O16,3)</f>
        <v>30.907</v>
      </c>
      <c r="Y16" s="1">
        <f>ROUND(G16/P16,3)</f>
        <v>16.792000000000002</v>
      </c>
      <c r="Z16" s="6">
        <f>ROUND(H16/Q16,3)</f>
        <v>4.9050000000000002</v>
      </c>
      <c r="AA16" s="3">
        <f>ROUND(I16/R16,3)</f>
        <v>13.877000000000001</v>
      </c>
    </row>
    <row r="17" spans="1:27" ht="14.25" customHeight="1" x14ac:dyDescent="0.2">
      <c r="A17" s="18" t="s">
        <v>28</v>
      </c>
      <c r="B17" s="5">
        <f t="shared" ref="B17" si="26">D$2/D17</f>
        <v>3.9811620067420184</v>
      </c>
      <c r="C17" s="5">
        <f t="shared" ref="C17" si="27">D16/D17</f>
        <v>1.0029744199881023</v>
      </c>
      <c r="D17" s="4">
        <f>SUM(F17:H17)</f>
        <v>100.86</v>
      </c>
      <c r="E17" s="19">
        <v>224.63</v>
      </c>
      <c r="F17" s="11">
        <v>26.34</v>
      </c>
      <c r="G17" s="19">
        <v>73.489999999999995</v>
      </c>
      <c r="H17" s="11">
        <v>1.03</v>
      </c>
      <c r="I17" s="11">
        <v>52.58</v>
      </c>
      <c r="J17" s="18" t="s">
        <v>28</v>
      </c>
      <c r="K17" s="5">
        <f t="shared" ref="K17" si="28">M$2/M17</f>
        <v>7.4999999999999991</v>
      </c>
      <c r="L17" s="5">
        <f t="shared" ref="L17" si="29">M16/M17</f>
        <v>1.1645299145299146</v>
      </c>
      <c r="M17" s="4">
        <f t="shared" ref="M17" si="30">SUM(O17:Q17)</f>
        <v>4.68</v>
      </c>
      <c r="N17" s="19">
        <v>11.02</v>
      </c>
      <c r="O17" s="11">
        <v>0.87</v>
      </c>
      <c r="P17" s="19">
        <v>3.6</v>
      </c>
      <c r="Q17" s="11">
        <v>0.21</v>
      </c>
      <c r="R17" s="11">
        <v>3.01</v>
      </c>
      <c r="S17" s="18" t="s">
        <v>28</v>
      </c>
      <c r="T17" s="5">
        <f t="shared" ref="T17" si="31">ROUND(B17/K17,3)</f>
        <v>0.53100000000000003</v>
      </c>
      <c r="U17" s="5">
        <f t="shared" ref="U17" si="32">ROUND(C17/L17,3)</f>
        <v>0.86099999999999999</v>
      </c>
      <c r="V17" s="4">
        <f t="shared" ref="V17" si="33">ROUND(D17/M17,3)</f>
        <v>21.550999999999998</v>
      </c>
      <c r="W17" s="2">
        <f>ROUND(E17/N17,3)</f>
        <v>20.384</v>
      </c>
      <c r="X17" s="10">
        <f>ROUND(F17/O17,3)</f>
        <v>30.276</v>
      </c>
      <c r="Y17" s="1">
        <f>ROUND(G17/P17,3)</f>
        <v>20.414000000000001</v>
      </c>
      <c r="Z17" s="10">
        <f>ROUND(H17/Q17,3)</f>
        <v>4.9050000000000002</v>
      </c>
      <c r="AA17" s="9">
        <f>ROUND(I17/R17,3)</f>
        <v>17.468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2026-05-30T15:15:19Z</dcterms:modified>
</cp:coreProperties>
</file>