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CC9AC1C0-7EF1-450E-B553-534F8F6C6D5D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2" l="1"/>
  <c r="D13" i="2"/>
  <c r="D14" i="2"/>
  <c r="N13" i="2"/>
  <c r="N14" i="2"/>
  <c r="E17" i="2"/>
  <c r="E18" i="2"/>
  <c r="E19" i="2"/>
  <c r="E20" i="2"/>
  <c r="E21" i="2"/>
  <c r="E22" i="2"/>
  <c r="E23" i="2"/>
  <c r="E24" i="2"/>
  <c r="E25" i="2"/>
  <c r="E26" i="2"/>
  <c r="E27" i="2"/>
  <c r="E28" i="2"/>
  <c r="E16" i="2"/>
  <c r="F27" i="2"/>
  <c r="G27" i="2"/>
  <c r="H27" i="2"/>
  <c r="I27" i="2"/>
  <c r="J27" i="2"/>
  <c r="F28" i="2"/>
  <c r="G28" i="2"/>
  <c r="H28" i="2"/>
  <c r="I28" i="2"/>
  <c r="J28" i="2"/>
  <c r="D27" i="2"/>
  <c r="D28" i="2"/>
  <c r="C16" i="2"/>
  <c r="B16" i="2"/>
  <c r="N12" i="2"/>
  <c r="N11" i="2"/>
  <c r="N10" i="2"/>
  <c r="N9" i="2"/>
  <c r="N8" i="2"/>
  <c r="N7" i="2"/>
  <c r="N6" i="2"/>
  <c r="N5" i="2"/>
  <c r="N4" i="2"/>
  <c r="N3" i="2"/>
  <c r="N2" i="2"/>
  <c r="D11" i="2"/>
  <c r="D10" i="2"/>
  <c r="D9" i="2"/>
  <c r="D8" i="2"/>
  <c r="D7" i="2"/>
  <c r="D6" i="2"/>
  <c r="D5" i="2"/>
  <c r="D4" i="2"/>
  <c r="D3" i="2"/>
  <c r="D2" i="2"/>
  <c r="I26" i="2"/>
  <c r="H26" i="2"/>
  <c r="G26" i="2"/>
  <c r="F26" i="2"/>
  <c r="J26" i="2"/>
  <c r="I25" i="2"/>
  <c r="H25" i="2"/>
  <c r="G25" i="2"/>
  <c r="F25" i="2"/>
  <c r="J25" i="2"/>
  <c r="I24" i="2"/>
  <c r="H24" i="2"/>
  <c r="G24" i="2"/>
  <c r="F24" i="2"/>
  <c r="J24" i="2"/>
  <c r="I23" i="2"/>
  <c r="H23" i="2"/>
  <c r="G23" i="2"/>
  <c r="F23" i="2"/>
  <c r="J23" i="2"/>
  <c r="I22" i="2"/>
  <c r="H22" i="2"/>
  <c r="G22" i="2"/>
  <c r="F22" i="2"/>
  <c r="J22" i="2"/>
  <c r="I21" i="2"/>
  <c r="H21" i="2"/>
  <c r="G21" i="2"/>
  <c r="F21" i="2"/>
  <c r="J21" i="2"/>
  <c r="I20" i="2"/>
  <c r="H20" i="2"/>
  <c r="G20" i="2"/>
  <c r="F20" i="2"/>
  <c r="J20" i="2"/>
  <c r="I19" i="2"/>
  <c r="H19" i="2"/>
  <c r="G19" i="2"/>
  <c r="F19" i="2"/>
  <c r="J19" i="2"/>
  <c r="I18" i="2"/>
  <c r="H18" i="2"/>
  <c r="G18" i="2"/>
  <c r="F18" i="2"/>
  <c r="J18" i="2"/>
  <c r="I17" i="2"/>
  <c r="H17" i="2"/>
  <c r="G17" i="2"/>
  <c r="F17" i="2"/>
  <c r="J17" i="2"/>
  <c r="I16" i="2"/>
  <c r="H16" i="2"/>
  <c r="G16" i="2"/>
  <c r="F16" i="2"/>
  <c r="J16" i="2"/>
  <c r="L14" i="2" l="1"/>
  <c r="L13" i="2"/>
  <c r="M14" i="2"/>
  <c r="M13" i="2"/>
  <c r="M4" i="2"/>
  <c r="M5" i="2"/>
  <c r="M9" i="2"/>
  <c r="M6" i="2"/>
  <c r="M10" i="2"/>
  <c r="B14" i="2"/>
  <c r="B28" i="2" s="1"/>
  <c r="B13" i="2"/>
  <c r="B27" i="2" s="1"/>
  <c r="C14" i="2"/>
  <c r="C28" i="2" s="1"/>
  <c r="C13" i="2"/>
  <c r="C27" i="2" s="1"/>
  <c r="C3" i="2"/>
  <c r="C12" i="2"/>
  <c r="C11" i="2"/>
  <c r="M11" i="2"/>
  <c r="C9" i="2"/>
  <c r="M8" i="2"/>
  <c r="C4" i="2"/>
  <c r="C18" i="2" s="1"/>
  <c r="B3" i="2"/>
  <c r="B5" i="2"/>
  <c r="B6" i="2"/>
  <c r="L12" i="2"/>
  <c r="M7" i="2"/>
  <c r="M12" i="2"/>
  <c r="B4" i="2"/>
  <c r="B7" i="2"/>
  <c r="L4" i="2"/>
  <c r="L3" i="2"/>
  <c r="M3" i="2"/>
  <c r="B12" i="2"/>
  <c r="C10" i="2"/>
  <c r="L8" i="2"/>
  <c r="C5" i="2"/>
  <c r="C6" i="2"/>
  <c r="D19" i="2"/>
  <c r="L5" i="2"/>
  <c r="L6" i="2"/>
  <c r="L9" i="2"/>
  <c r="L7" i="2"/>
  <c r="B10" i="2"/>
  <c r="D24" i="2"/>
  <c r="C7" i="2"/>
  <c r="L10" i="2"/>
  <c r="B8" i="2"/>
  <c r="B11" i="2"/>
  <c r="D25" i="2"/>
  <c r="C8" i="2"/>
  <c r="D23" i="2"/>
  <c r="L11" i="2"/>
  <c r="B9" i="2"/>
  <c r="D21" i="2"/>
  <c r="D17" i="2"/>
  <c r="D22" i="2"/>
  <c r="D26" i="2"/>
  <c r="D20" i="2"/>
  <c r="D18" i="2"/>
  <c r="D16" i="2"/>
  <c r="C23" i="2" l="1"/>
  <c r="C17" i="2"/>
  <c r="C19" i="2"/>
  <c r="C20" i="2"/>
  <c r="C24" i="2"/>
  <c r="B26" i="2"/>
  <c r="B23" i="2"/>
  <c r="C22" i="2"/>
  <c r="B21" i="2"/>
  <c r="C26" i="2"/>
  <c r="C25" i="2"/>
  <c r="B25" i="2"/>
  <c r="B18" i="2"/>
  <c r="B22" i="2"/>
  <c r="C21" i="2"/>
  <c r="B20" i="2"/>
  <c r="B24" i="2"/>
  <c r="B19" i="2"/>
  <c r="B17" i="2"/>
</calcChain>
</file>

<file path=xl/sharedStrings.xml><?xml version="1.0" encoding="utf-8"?>
<sst xmlns="http://schemas.openxmlformats.org/spreadsheetml/2006/main" count="46" uniqueCount="26">
  <si>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</si>
  <si>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</si>
  <si>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</si>
  <si>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</si>
  <si>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</si>
  <si>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</si>
  <si>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</si>
  <si>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</si>
  <si>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</si>
  <si>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</si>
  <si>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</si>
  <si>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c</t>
  </si>
  <si>
    <t>q</t>
  </si>
  <si>
    <t>z</t>
  </si>
  <si>
    <t>x</t>
  </si>
  <si>
    <t>上一</t>
    <phoneticPr fontId="3" type="noConversion"/>
  </si>
  <si>
    <t>第一</t>
    <phoneticPr fontId="3" type="noConversion"/>
  </si>
  <si>
    <t>B</t>
    <phoneticPr fontId="3" type="noConversion"/>
  </si>
  <si>
    <t>A</t>
    <phoneticPr fontId="3" type="noConversion"/>
  </si>
  <si>
    <t>第一</t>
  </si>
  <si>
    <t>上一</t>
  </si>
  <si>
    <t>总计</t>
    <phoneticPr fontId="3" type="noConversion"/>
  </si>
  <si>
    <t>gen</t>
    <phoneticPr fontId="3" type="noConversion"/>
  </si>
  <si>
    <t>H33</t>
  </si>
  <si>
    <t>H34</t>
  </si>
  <si>
    <t>mak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</si>
</sst>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0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176" fontId="5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2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6" fontId="6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176" fontId="9" fillId="0" borderId="0" xfId="0" applyNumberFormat="1" applyFont="1" applyAlignment="1">
      <alignment horizontal="left" vertical="center" wrapText="1"/>
    </xf>
    <xf numFmtId="176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6" fontId="8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176" fontId="9" fillId="0" borderId="0" xfId="0" applyNumberFormat="1" applyFont="1" applyFill="1" applyAlignment="1">
      <alignment horizontal="left" vertical="center" wrapText="1"/>
    </xf>
    <xf numFmtId="176" fontId="5" fillId="0" borderId="0" xfId="0" applyNumberFormat="1" applyFont="1" applyFill="1" applyAlignment="1">
      <alignment horizontal="left" vertical="center" wrapText="1"/>
    </xf>
    <xf numFmtId="176" fontId="0" fillId="0" borderId="0" xfId="0" applyNumberFormat="1" applyFill="1" applyAlignment="1">
      <alignment horizontal="left" vertical="center" wrapText="1"/>
    </xf>
    <xf numFmtId="176" fontId="2" fillId="0" borderId="0" xfId="0" applyNumberFormat="1" applyFont="1" applyFill="1" applyAlignment="1">
      <alignment horizontal="left" vertical="center" wrapText="1"/>
    </xf>
    <xf numFmtId="176" fontId="8" fillId="0" borderId="0" xfId="0" applyNumberFormat="1" applyFont="1" applyFill="1" applyAlignment="1">
      <alignment horizontal="left" vertical="center" wrapText="1"/>
    </xf>
    <xf numFmtId="176" fontId="4" fillId="0" borderId="0" xfId="0" applyNumberFormat="1" applyFont="1" applyFill="1" applyAlignment="1">
      <alignment horizontal="left" vertical="center" wrapText="1"/>
    </xf>
    <xf numFmtId="176" fontId="6" fillId="0" borderId="0" xfId="0" applyNumberFormat="1" applyFont="1" applyFill="1" applyAlignment="1">
      <alignment horizontal="left" vertical="center" wrapText="1"/>
    </xf>
    <xf numFmtId="0" fontId="9" fillId="0" borderId="0" xfId="0" applyFont="1" applyBorder="1" applyAlignment="1">
      <alignment horizontal="left" vertical="center" wrapText="1"/>
    </xf>
    <xf numFmtId="0" fontId="0" fillId="0" borderId="0" xfId="0" applyBorder="1" applyAlignment="1">
      <alignment horizontal="left" vertical="center"/>
    </xf>
    <xf numFmtId="0" fontId="2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176" fontId="4" fillId="0" borderId="4" xfId="0" applyNumberFormat="1" applyFont="1" applyFill="1" applyBorder="1" applyAlignment="1">
      <alignment horizontal="left" vertical="center" wrapText="1"/>
    </xf>
    <xf numFmtId="176" fontId="2" fillId="0" borderId="4" xfId="0" applyNumberFormat="1" applyFont="1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176" fontId="0" fillId="0" borderId="4" xfId="0" applyNumberForma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T32"/>
  <sheetViews>
    <sheetView tabSelected="1" workbookViewId="0">
      <selection activeCell="M14" sqref="M14"/>
    </sheetView>
  </sheetViews>
  <sheetFormatPr defaultColWidth="8.875" defaultRowHeight="14.25" customHeight="1" x14ac:dyDescent="0.2"/>
  <cols>
    <col min="1" max="1" width="8.875" style="2"/>
    <col min="2" max="3" width="8.875" style="2" customWidth="1"/>
    <col min="4" max="10" width="8.875" style="2"/>
    <col min="11" max="11" width="8.875" style="25"/>
    <col min="12" max="16384" width="8.875" style="2"/>
  </cols>
  <sheetData>
    <row r="1" spans="1:20" ht="14.25" customHeight="1" x14ac:dyDescent="0.2">
      <c r="A1" s="1" t="s">
        <v>18</v>
      </c>
      <c r="B1" s="17" t="s">
        <v>19</v>
      </c>
      <c r="C1" s="17" t="s">
        <v>20</v>
      </c>
      <c r="D1" s="1" t="s">
        <v>21</v>
      </c>
      <c r="E1" s="17" t="s">
        <v>25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22</v>
      </c>
      <c r="K1" s="24" t="s">
        <v>17</v>
      </c>
      <c r="L1" s="17" t="s">
        <v>16</v>
      </c>
      <c r="M1" s="17" t="s">
        <v>15</v>
      </c>
      <c r="N1" s="1" t="s">
        <v>21</v>
      </c>
      <c r="O1" s="1" t="s">
        <v>25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22</v>
      </c>
    </row>
    <row r="2" spans="1:20" ht="14.25" customHeight="1" x14ac:dyDescent="0.2">
      <c r="A2" s="3" t="s">
        <v>0</v>
      </c>
      <c r="B2" s="18">
        <v>1</v>
      </c>
      <c r="C2" s="18">
        <v>1</v>
      </c>
      <c r="D2" s="7">
        <f>SUM(F2:I2)</f>
        <v>1136.231</v>
      </c>
      <c r="E2" s="18">
        <v>381.95100000000002</v>
      </c>
      <c r="F2" s="8">
        <v>2.552</v>
      </c>
      <c r="G2" s="8">
        <v>266.54300000000001</v>
      </c>
      <c r="H2" s="8">
        <v>212.46899999999999</v>
      </c>
      <c r="I2" s="8">
        <v>654.66700000000003</v>
      </c>
      <c r="J2" s="8">
        <v>1014.4109999999999</v>
      </c>
      <c r="K2" s="23" t="s">
        <v>0</v>
      </c>
      <c r="L2" s="18">
        <v>1</v>
      </c>
      <c r="M2" s="18">
        <v>1</v>
      </c>
      <c r="N2" s="7">
        <f>SUM(P2:S2)</f>
        <v>35.587000000000003</v>
      </c>
      <c r="O2" s="7">
        <v>66.325999999999993</v>
      </c>
      <c r="P2" s="8">
        <v>1.028</v>
      </c>
      <c r="Q2" s="8">
        <v>6.4980000000000002</v>
      </c>
      <c r="R2" s="8">
        <v>12.413</v>
      </c>
      <c r="S2" s="8">
        <v>15.648</v>
      </c>
      <c r="T2" s="8">
        <v>27.876000000000001</v>
      </c>
    </row>
    <row r="3" spans="1:20" ht="14.25" customHeight="1" x14ac:dyDescent="0.2">
      <c r="A3" s="3" t="s">
        <v>1</v>
      </c>
      <c r="B3" s="19">
        <f>D$2/D3</f>
        <v>4.0211314210889526</v>
      </c>
      <c r="C3" s="19">
        <f>D2/D3</f>
        <v>4.0211314210889526</v>
      </c>
      <c r="D3" s="9">
        <f t="shared" ref="D3:D12" si="0">SUM(F3:I3)</f>
        <v>282.565</v>
      </c>
      <c r="E3" s="18">
        <v>369.94</v>
      </c>
      <c r="F3" s="11">
        <v>0.186</v>
      </c>
      <c r="G3" s="8">
        <v>144.71799999999999</v>
      </c>
      <c r="H3" s="8">
        <v>131.36500000000001</v>
      </c>
      <c r="I3" s="11">
        <v>6.2960000000000003</v>
      </c>
      <c r="J3" s="10">
        <v>236.166</v>
      </c>
      <c r="K3" s="23" t="s">
        <v>1</v>
      </c>
      <c r="L3" s="19">
        <f>N$2/N3</f>
        <v>1.9277898158179849</v>
      </c>
      <c r="M3" s="19">
        <f>N2/N3</f>
        <v>1.9277898158179849</v>
      </c>
      <c r="N3" s="9">
        <f t="shared" ref="N3:N12" si="1">SUM(P3:S3)</f>
        <v>18.46</v>
      </c>
      <c r="O3" s="9">
        <v>66.322999999999993</v>
      </c>
      <c r="P3" s="11">
        <v>0.17599999999999999</v>
      </c>
      <c r="Q3" s="10">
        <v>5.2690000000000001</v>
      </c>
      <c r="R3" s="8">
        <v>12.404</v>
      </c>
      <c r="S3" s="11">
        <v>0.61099999999999999</v>
      </c>
      <c r="T3" s="8">
        <v>27.587</v>
      </c>
    </row>
    <row r="4" spans="1:20" ht="14.25" customHeight="1" x14ac:dyDescent="0.2">
      <c r="A4" s="3" t="s">
        <v>2</v>
      </c>
      <c r="B4" s="19">
        <f t="shared" ref="B4:B12" si="2">D$2/D4</f>
        <v>2.0581434103893375</v>
      </c>
      <c r="C4" s="19">
        <f t="shared" ref="C4:C12" si="3">D3/D4</f>
        <v>0.51183191864740807</v>
      </c>
      <c r="D4" s="9">
        <f t="shared" si="0"/>
        <v>552.06600000000003</v>
      </c>
      <c r="E4" s="18">
        <v>369.98099999999999</v>
      </c>
      <c r="F4" s="8">
        <v>0.26</v>
      </c>
      <c r="G4" s="11">
        <v>110.378</v>
      </c>
      <c r="H4" s="8">
        <v>433.99200000000002</v>
      </c>
      <c r="I4" s="8">
        <v>7.4359999999999999</v>
      </c>
      <c r="J4" s="8">
        <v>1101.191</v>
      </c>
      <c r="K4" s="23" t="s">
        <v>2</v>
      </c>
      <c r="L4" s="19">
        <f t="shared" ref="L4:L12" si="4">N$2/N4</f>
        <v>2.0557449020853791</v>
      </c>
      <c r="M4" s="19">
        <f t="shared" ref="M4:M12" si="5">N3/N4</f>
        <v>1.0663739818612441</v>
      </c>
      <c r="N4" s="9">
        <f t="shared" si="1"/>
        <v>17.311000000000003</v>
      </c>
      <c r="O4" s="9">
        <v>66.138999999999996</v>
      </c>
      <c r="P4" s="8">
        <v>0.17599999999999999</v>
      </c>
      <c r="Q4" s="11">
        <v>4.0250000000000004</v>
      </c>
      <c r="R4" s="8">
        <v>12.502000000000001</v>
      </c>
      <c r="S4" s="10">
        <v>0.60799999999999998</v>
      </c>
      <c r="T4" s="8">
        <v>27.681999999999999</v>
      </c>
    </row>
    <row r="5" spans="1:20" ht="14.25" customHeight="1" x14ac:dyDescent="0.2">
      <c r="A5" s="3" t="s">
        <v>3</v>
      </c>
      <c r="B5" s="19">
        <f t="shared" si="2"/>
        <v>3.7871968108686449</v>
      </c>
      <c r="C5" s="19">
        <f t="shared" si="3"/>
        <v>1.8401034601141928</v>
      </c>
      <c r="D5" s="9">
        <f t="shared" si="0"/>
        <v>300.01900000000001</v>
      </c>
      <c r="E5" s="18">
        <v>376.46</v>
      </c>
      <c r="F5" s="8">
        <v>0.25800000000000001</v>
      </c>
      <c r="G5" s="8">
        <v>109.84399999999999</v>
      </c>
      <c r="H5" s="11">
        <v>182.58099999999999</v>
      </c>
      <c r="I5" s="8">
        <v>7.3360000000000003</v>
      </c>
      <c r="J5" s="8">
        <v>946.61900000000003</v>
      </c>
      <c r="K5" s="23" t="s">
        <v>3</v>
      </c>
      <c r="L5" s="19">
        <f t="shared" si="4"/>
        <v>3.8150728987993139</v>
      </c>
      <c r="M5" s="19">
        <f t="shared" si="5"/>
        <v>1.855810463121784</v>
      </c>
      <c r="N5" s="9">
        <f t="shared" si="1"/>
        <v>9.3280000000000012</v>
      </c>
      <c r="O5" s="9">
        <v>67.84</v>
      </c>
      <c r="P5" s="8">
        <v>0.193</v>
      </c>
      <c r="Q5" s="8">
        <v>3.7240000000000002</v>
      </c>
      <c r="R5" s="11">
        <v>4.9530000000000003</v>
      </c>
      <c r="S5" s="8">
        <v>0.45800000000000002</v>
      </c>
      <c r="T5" s="8">
        <v>27.033999999999999</v>
      </c>
    </row>
    <row r="6" spans="1:20" ht="14.25" customHeight="1" x14ac:dyDescent="0.2">
      <c r="A6" s="3" t="s">
        <v>4</v>
      </c>
      <c r="B6" s="18">
        <f t="shared" si="2"/>
        <v>3.8261316110261778</v>
      </c>
      <c r="C6" s="18">
        <f t="shared" si="3"/>
        <v>1.0102806381875367</v>
      </c>
      <c r="D6" s="7">
        <f t="shared" si="0"/>
        <v>296.96600000000001</v>
      </c>
      <c r="E6" s="18">
        <v>378.15</v>
      </c>
      <c r="F6" s="8">
        <v>0.25700000000000001</v>
      </c>
      <c r="G6" s="8">
        <v>106.133</v>
      </c>
      <c r="H6" s="8">
        <v>183.876</v>
      </c>
      <c r="I6" s="10">
        <v>6.7</v>
      </c>
      <c r="J6" s="11">
        <v>155.20400000000001</v>
      </c>
      <c r="K6" s="23" t="s">
        <v>4</v>
      </c>
      <c r="L6" s="18">
        <f t="shared" si="4"/>
        <v>3.8677317682860561</v>
      </c>
      <c r="M6" s="18">
        <f t="shared" si="5"/>
        <v>1.0138028475165743</v>
      </c>
      <c r="N6" s="7">
        <f t="shared" si="1"/>
        <v>9.2010000000000005</v>
      </c>
      <c r="O6" s="7">
        <v>66.164000000000001</v>
      </c>
      <c r="P6" s="8">
        <v>0.19</v>
      </c>
      <c r="Q6" s="8">
        <v>3.64</v>
      </c>
      <c r="R6" s="8">
        <v>4.8940000000000001</v>
      </c>
      <c r="S6" s="8">
        <v>0.47699999999999998</v>
      </c>
      <c r="T6" s="11">
        <v>4.4000000000000004</v>
      </c>
    </row>
    <row r="7" spans="1:20" ht="14.25" customHeight="1" x14ac:dyDescent="0.2">
      <c r="A7" s="3" t="s">
        <v>5</v>
      </c>
      <c r="B7" s="18">
        <f t="shared" si="2"/>
        <v>3.7755687954197308</v>
      </c>
      <c r="C7" s="29">
        <f t="shared" si="3"/>
        <v>0.98678487288290484</v>
      </c>
      <c r="D7" s="30">
        <f t="shared" si="0"/>
        <v>300.94299999999998</v>
      </c>
      <c r="E7" s="29">
        <v>368.892</v>
      </c>
      <c r="F7" s="31">
        <v>0.252</v>
      </c>
      <c r="G7" s="31">
        <v>115.97799999999999</v>
      </c>
      <c r="H7" s="31">
        <v>181.94800000000001</v>
      </c>
      <c r="I7" s="32">
        <v>2.7650000000000001</v>
      </c>
      <c r="J7" s="31">
        <v>155.75899999999999</v>
      </c>
      <c r="K7" s="23" t="s">
        <v>5</v>
      </c>
      <c r="L7" s="18">
        <f t="shared" si="4"/>
        <v>4.0334353394537006</v>
      </c>
      <c r="M7" s="18">
        <f t="shared" si="5"/>
        <v>1.0428425705542332</v>
      </c>
      <c r="N7" s="7">
        <f t="shared" si="1"/>
        <v>8.8230000000000004</v>
      </c>
      <c r="O7" s="7">
        <v>76.504000000000005</v>
      </c>
      <c r="P7" s="10">
        <v>0.16</v>
      </c>
      <c r="Q7" s="8">
        <v>3.54</v>
      </c>
      <c r="R7" s="8">
        <v>4.9160000000000004</v>
      </c>
      <c r="S7" s="11">
        <v>0.20699999999999999</v>
      </c>
      <c r="T7" s="8">
        <v>4.4710000000000001</v>
      </c>
    </row>
    <row r="8" spans="1:20" ht="14.25" customHeight="1" x14ac:dyDescent="0.2">
      <c r="A8" s="3" t="s">
        <v>6</v>
      </c>
      <c r="B8" s="18">
        <f t="shared" si="2"/>
        <v>3.6914707325234972</v>
      </c>
      <c r="C8" s="29">
        <f t="shared" si="3"/>
        <v>0.97772572360533971</v>
      </c>
      <c r="D8" s="30">
        <f t="shared" si="0"/>
        <v>307.79900000000004</v>
      </c>
      <c r="E8" s="29">
        <v>474.35700000000003</v>
      </c>
      <c r="F8" s="32">
        <v>5.0000000000000001E-3</v>
      </c>
      <c r="G8" s="31">
        <v>117.661</v>
      </c>
      <c r="H8" s="31">
        <v>187.90100000000001</v>
      </c>
      <c r="I8" s="31">
        <v>2.2320000000000002</v>
      </c>
      <c r="J8" s="31">
        <v>158.601</v>
      </c>
      <c r="K8" s="23" t="s">
        <v>6</v>
      </c>
      <c r="L8" s="18">
        <f t="shared" si="4"/>
        <v>4.0629067245119312</v>
      </c>
      <c r="M8" s="18">
        <f t="shared" si="5"/>
        <v>1.0073067701792444</v>
      </c>
      <c r="N8" s="7">
        <f t="shared" si="1"/>
        <v>8.7589999999999986</v>
      </c>
      <c r="O8" s="7">
        <v>88.95</v>
      </c>
      <c r="P8" s="11">
        <v>2E-3</v>
      </c>
      <c r="Q8" s="8">
        <v>3.6080000000000001</v>
      </c>
      <c r="R8" s="8">
        <v>4.9589999999999996</v>
      </c>
      <c r="S8" s="8">
        <v>0.19</v>
      </c>
      <c r="T8" s="8">
        <v>4.4660000000000002</v>
      </c>
    </row>
    <row r="9" spans="1:20" ht="14.25" customHeight="1" x14ac:dyDescent="0.2">
      <c r="A9" s="3" t="s">
        <v>7</v>
      </c>
      <c r="B9" s="18">
        <f t="shared" si="2"/>
        <v>3.7474390010619985</v>
      </c>
      <c r="C9" s="29">
        <f t="shared" si="3"/>
        <v>1.0151615094887239</v>
      </c>
      <c r="D9" s="30">
        <f t="shared" si="0"/>
        <v>303.202</v>
      </c>
      <c r="E9" s="29">
        <v>484.75700000000001</v>
      </c>
      <c r="F9" s="31">
        <v>5.0000000000000001E-3</v>
      </c>
      <c r="G9" s="31">
        <v>114.488</v>
      </c>
      <c r="H9" s="31">
        <v>186.03100000000001</v>
      </c>
      <c r="I9" s="31">
        <v>2.6779999999999999</v>
      </c>
      <c r="J9" s="31">
        <v>159.75899999999999</v>
      </c>
      <c r="K9" s="23" t="s">
        <v>7</v>
      </c>
      <c r="L9" s="18">
        <f t="shared" si="4"/>
        <v>4.127943394037815</v>
      </c>
      <c r="M9" s="18">
        <f t="shared" si="5"/>
        <v>1.0160074237327454</v>
      </c>
      <c r="N9" s="7">
        <f t="shared" si="1"/>
        <v>8.6210000000000004</v>
      </c>
      <c r="O9" s="7">
        <v>91.006</v>
      </c>
      <c r="P9" s="8">
        <v>3.0000000000000001E-3</v>
      </c>
      <c r="Q9" s="8">
        <v>3.55</v>
      </c>
      <c r="R9" s="8">
        <v>4.8780000000000001</v>
      </c>
      <c r="S9" s="8">
        <v>0.19</v>
      </c>
      <c r="T9" s="8">
        <v>4.42</v>
      </c>
    </row>
    <row r="10" spans="1:20" ht="14.25" customHeight="1" x14ac:dyDescent="0.2">
      <c r="A10" s="3" t="s">
        <v>8</v>
      </c>
      <c r="B10" s="18">
        <f t="shared" si="2"/>
        <v>3.6970198837107158</v>
      </c>
      <c r="C10" s="29">
        <f t="shared" si="3"/>
        <v>0.98654571366285237</v>
      </c>
      <c r="D10" s="30">
        <f t="shared" si="0"/>
        <v>307.33699999999993</v>
      </c>
      <c r="E10" s="33">
        <v>247.292</v>
      </c>
      <c r="F10" s="31">
        <v>5.0000000000000001E-3</v>
      </c>
      <c r="G10" s="31">
        <v>120.297</v>
      </c>
      <c r="H10" s="31">
        <v>184.65199999999999</v>
      </c>
      <c r="I10" s="34">
        <v>2.383</v>
      </c>
      <c r="J10" s="31">
        <v>157.55099999999999</v>
      </c>
      <c r="K10" s="23" t="s">
        <v>8</v>
      </c>
      <c r="L10" s="18">
        <f t="shared" si="4"/>
        <v>4.0731372324596551</v>
      </c>
      <c r="M10" s="18">
        <f t="shared" si="5"/>
        <v>0.98672313150967172</v>
      </c>
      <c r="N10" s="7">
        <f t="shared" si="1"/>
        <v>8.7369999999999983</v>
      </c>
      <c r="O10" s="7">
        <v>74.888999999999996</v>
      </c>
      <c r="P10" s="8">
        <v>3.0000000000000001E-3</v>
      </c>
      <c r="Q10" s="8">
        <v>3.5640000000000001</v>
      </c>
      <c r="R10" s="8">
        <v>4.9729999999999999</v>
      </c>
      <c r="S10" s="8">
        <v>0.19700000000000001</v>
      </c>
      <c r="T10" s="8">
        <v>4.468</v>
      </c>
    </row>
    <row r="11" spans="1:20" ht="14.25" customHeight="1" x14ac:dyDescent="0.2">
      <c r="A11" s="3" t="s">
        <v>9</v>
      </c>
      <c r="B11" s="19">
        <f t="shared" si="2"/>
        <v>4.7541841704463668</v>
      </c>
      <c r="C11" s="33">
        <f t="shared" si="3"/>
        <v>1.2859503924751876</v>
      </c>
      <c r="D11" s="35">
        <f t="shared" si="0"/>
        <v>238.99600000000001</v>
      </c>
      <c r="E11" s="29">
        <v>212.542</v>
      </c>
      <c r="F11" s="31">
        <v>6.0000000000000001E-3</v>
      </c>
      <c r="G11" s="32">
        <v>48.052999999999997</v>
      </c>
      <c r="H11" s="31">
        <v>188.84100000000001</v>
      </c>
      <c r="I11" s="31">
        <v>2.0960000000000001</v>
      </c>
      <c r="J11" s="40">
        <v>162.86699999999999</v>
      </c>
      <c r="K11" s="36" t="s">
        <v>9</v>
      </c>
      <c r="L11" s="19">
        <f t="shared" si="4"/>
        <v>4.4712903631109446</v>
      </c>
      <c r="M11" s="19">
        <f t="shared" si="5"/>
        <v>1.0977509737404194</v>
      </c>
      <c r="N11" s="9">
        <f t="shared" si="1"/>
        <v>7.9589999999999996</v>
      </c>
      <c r="O11" s="9">
        <v>73.524000000000001</v>
      </c>
      <c r="P11" s="8">
        <v>3.0000000000000001E-3</v>
      </c>
      <c r="Q11" s="11">
        <v>1.41</v>
      </c>
      <c r="R11" s="8">
        <v>6.3529999999999998</v>
      </c>
      <c r="S11" s="8">
        <v>0.193</v>
      </c>
      <c r="T11" s="8">
        <v>5.8819999999999997</v>
      </c>
    </row>
    <row r="12" spans="1:20" ht="14.25" customHeight="1" x14ac:dyDescent="0.2">
      <c r="A12" s="3" t="s">
        <v>10</v>
      </c>
      <c r="B12" s="19">
        <f t="shared" si="2"/>
        <v>5.3829401174909988</v>
      </c>
      <c r="C12" s="33">
        <f t="shared" si="3"/>
        <v>1.1322531741519803</v>
      </c>
      <c r="D12" s="35">
        <f t="shared" si="0"/>
        <v>211.08</v>
      </c>
      <c r="E12" s="29">
        <v>216.535</v>
      </c>
      <c r="F12" s="31">
        <v>5.0000000000000001E-3</v>
      </c>
      <c r="G12" s="34">
        <v>46.692999999999998</v>
      </c>
      <c r="H12" s="32">
        <v>161.774</v>
      </c>
      <c r="I12" s="31">
        <v>2.6080000000000001</v>
      </c>
      <c r="J12" s="41">
        <v>135.74</v>
      </c>
      <c r="K12" s="36" t="s">
        <v>10</v>
      </c>
      <c r="L12" s="19">
        <f t="shared" si="4"/>
        <v>5.6577106518282996</v>
      </c>
      <c r="M12" s="19">
        <f t="shared" si="5"/>
        <v>1.2653418124006359</v>
      </c>
      <c r="N12" s="9">
        <f t="shared" si="1"/>
        <v>6.29</v>
      </c>
      <c r="O12" s="9">
        <v>73.067999999999998</v>
      </c>
      <c r="P12" s="8">
        <v>2E-3</v>
      </c>
      <c r="Q12" s="10">
        <v>1.359</v>
      </c>
      <c r="R12" s="11">
        <v>4.7460000000000004</v>
      </c>
      <c r="S12" s="10">
        <v>0.183</v>
      </c>
      <c r="T12" s="11">
        <v>3.9609999999999999</v>
      </c>
    </row>
    <row r="13" spans="1:20" ht="14.25" customHeight="1" x14ac:dyDescent="0.2">
      <c r="A13" s="27" t="s">
        <v>23</v>
      </c>
      <c r="B13" s="19">
        <f t="shared" ref="B13:B14" si="6">D$2/D13</f>
        <v>5.8861093267577038</v>
      </c>
      <c r="C13" s="33">
        <f t="shared" ref="C13:C14" si="7">D12/D13</f>
        <v>1.0934747922667276</v>
      </c>
      <c r="D13" s="35">
        <f t="shared" ref="D13:D14" si="8">SUM(F13:I13)</f>
        <v>193.03599999999997</v>
      </c>
      <c r="E13" s="29">
        <v>208.95400000000001</v>
      </c>
      <c r="F13" s="31">
        <v>5.0000000000000001E-3</v>
      </c>
      <c r="G13" s="32">
        <v>28.623999999999999</v>
      </c>
      <c r="H13" s="34">
        <v>161.77099999999999</v>
      </c>
      <c r="I13" s="31">
        <v>2.6360000000000001</v>
      </c>
      <c r="J13" s="40">
        <v>136.84</v>
      </c>
      <c r="K13" s="27" t="s">
        <v>23</v>
      </c>
      <c r="L13" s="19">
        <f t="shared" ref="L13:L14" si="9">N$2/N13</f>
        <v>6.1356896551724134</v>
      </c>
      <c r="M13" s="19">
        <f t="shared" ref="M13:M14" si="10">N12/N13</f>
        <v>1.0844827586206895</v>
      </c>
      <c r="N13" s="9">
        <f t="shared" ref="N13:N14" si="11">SUM(P13:S13)</f>
        <v>5.8000000000000007</v>
      </c>
      <c r="O13" s="9">
        <v>74.634</v>
      </c>
      <c r="P13" s="8">
        <v>2E-3</v>
      </c>
      <c r="Q13" s="11">
        <v>0.86799999999999999</v>
      </c>
      <c r="R13" s="10">
        <v>4.7380000000000004</v>
      </c>
      <c r="S13" s="10">
        <v>0.192</v>
      </c>
      <c r="T13" s="10">
        <v>3.9350000000000001</v>
      </c>
    </row>
    <row r="14" spans="1:20" ht="14.25" customHeight="1" x14ac:dyDescent="0.2">
      <c r="A14" s="28" t="s">
        <v>24</v>
      </c>
      <c r="B14" s="19">
        <f t="shared" si="6"/>
        <v>5.7419913988710389</v>
      </c>
      <c r="C14" s="33">
        <f t="shared" si="7"/>
        <v>0.97551558765116397</v>
      </c>
      <c r="D14" s="35">
        <f t="shared" si="8"/>
        <v>197.881</v>
      </c>
      <c r="E14" s="29">
        <v>208.31</v>
      </c>
      <c r="F14" s="31">
        <v>5.0000000000000001E-3</v>
      </c>
      <c r="G14" s="32">
        <v>27.504000000000001</v>
      </c>
      <c r="H14" s="34">
        <v>168.22900000000001</v>
      </c>
      <c r="I14" s="31">
        <v>2.1429999999999998</v>
      </c>
      <c r="J14" s="40">
        <v>135.52000000000001</v>
      </c>
      <c r="K14" s="28" t="s">
        <v>24</v>
      </c>
      <c r="L14" s="19">
        <f t="shared" si="9"/>
        <v>6.1526625172890741</v>
      </c>
      <c r="M14" s="19">
        <f t="shared" si="10"/>
        <v>1.0027662517289075</v>
      </c>
      <c r="N14" s="9">
        <f t="shared" si="11"/>
        <v>5.7839999999999998</v>
      </c>
      <c r="O14" s="9">
        <v>74.733000000000004</v>
      </c>
      <c r="P14" s="8">
        <v>2E-3</v>
      </c>
      <c r="Q14" s="11">
        <v>0.84899999999999998</v>
      </c>
      <c r="R14" s="10">
        <v>4.7370000000000001</v>
      </c>
      <c r="S14" s="10">
        <v>0.19600000000000001</v>
      </c>
      <c r="T14" s="10">
        <v>3.9279999999999999</v>
      </c>
    </row>
    <row r="15" spans="1:20" ht="14.25" customHeight="1" x14ac:dyDescent="0.2">
      <c r="B15" s="20"/>
      <c r="C15" s="20"/>
      <c r="E15" s="20"/>
      <c r="J15" s="42"/>
      <c r="K15" s="37"/>
    </row>
    <row r="16" spans="1:20" ht="14.25" customHeight="1" x14ac:dyDescent="0.2">
      <c r="B16" s="21">
        <f>ROUND(B2/L2,3)</f>
        <v>1</v>
      </c>
      <c r="C16" s="21">
        <f>ROUND(C2/M2,3)</f>
        <v>1</v>
      </c>
      <c r="D16" s="12">
        <f>ROUND(D2/N2,3)</f>
        <v>31.928000000000001</v>
      </c>
      <c r="E16" s="13">
        <f>ROUND(E2/O2,3)</f>
        <v>5.7590000000000003</v>
      </c>
      <c r="F16" s="13">
        <f>ROUND(F2/P2,3)</f>
        <v>2.4820000000000002</v>
      </c>
      <c r="G16" s="13">
        <f>ROUND(G2/Q2,3)</f>
        <v>41.018999999999998</v>
      </c>
      <c r="H16" s="13">
        <f>ROUND(H2/R2,3)</f>
        <v>17.117000000000001</v>
      </c>
      <c r="I16" s="13">
        <f>ROUND(I2/S2,3)</f>
        <v>41.837000000000003</v>
      </c>
      <c r="J16" s="43">
        <f>ROUND(J2/T2,3)</f>
        <v>36.39</v>
      </c>
      <c r="K16" s="38"/>
      <c r="L16" s="6"/>
      <c r="M16" s="6"/>
      <c r="N16" s="6"/>
      <c r="O16" s="6"/>
      <c r="P16" s="6"/>
      <c r="Q16" s="6"/>
      <c r="R16" s="6"/>
      <c r="S16" s="6"/>
      <c r="T16" s="6"/>
    </row>
    <row r="17" spans="1:20" ht="14.25" customHeight="1" x14ac:dyDescent="0.2">
      <c r="B17" s="22">
        <f>ROUND(B3/L3,3)</f>
        <v>2.0859999999999999</v>
      </c>
      <c r="C17" s="22">
        <f>ROUND(C3/M3,3)</f>
        <v>2.0859999999999999</v>
      </c>
      <c r="D17" s="14">
        <f>ROUND(D3/N3,3)</f>
        <v>15.307</v>
      </c>
      <c r="E17" s="13">
        <f t="shared" ref="E17:E28" si="12">ROUND(E3/O3,3)</f>
        <v>5.5780000000000003</v>
      </c>
      <c r="F17" s="15">
        <f>ROUND(F3/P3,3)</f>
        <v>1.0569999999999999</v>
      </c>
      <c r="G17" s="13">
        <f>ROUND(G3/Q3,3)</f>
        <v>27.466000000000001</v>
      </c>
      <c r="H17" s="13">
        <f>ROUND(H3/R3,3)</f>
        <v>10.590999999999999</v>
      </c>
      <c r="I17" s="15">
        <f>ROUND(I3/S3,3)</f>
        <v>10.304</v>
      </c>
      <c r="J17" s="43">
        <f>ROUND(J3/T3,3)</f>
        <v>8.5609999999999999</v>
      </c>
      <c r="K17" s="39"/>
      <c r="L17" s="4"/>
      <c r="M17" s="4"/>
      <c r="N17" s="4"/>
      <c r="O17" s="4"/>
      <c r="P17" s="4"/>
      <c r="Q17" s="4"/>
      <c r="R17" s="4"/>
      <c r="S17" s="4"/>
      <c r="T17" s="4"/>
    </row>
    <row r="18" spans="1:20" ht="14.25" customHeight="1" x14ac:dyDescent="0.2">
      <c r="B18" s="22">
        <f>ROUND(B4/L4,3)</f>
        <v>1.0009999999999999</v>
      </c>
      <c r="C18" s="22">
        <f>ROUND(C4/M4,3)</f>
        <v>0.48</v>
      </c>
      <c r="D18" s="14">
        <f>ROUND(D4/N4,3)</f>
        <v>31.890999999999998</v>
      </c>
      <c r="E18" s="13">
        <f t="shared" si="12"/>
        <v>5.5940000000000003</v>
      </c>
      <c r="F18" s="13">
        <f>ROUND(F4/P4,3)</f>
        <v>1.4770000000000001</v>
      </c>
      <c r="G18" s="15">
        <f>ROUND(G4/Q4,3)</f>
        <v>27.422999999999998</v>
      </c>
      <c r="H18" s="13">
        <f>ROUND(H4/R4,3)</f>
        <v>34.713999999999999</v>
      </c>
      <c r="I18" s="13">
        <f>ROUND(I4/S4,3)</f>
        <v>12.23</v>
      </c>
      <c r="J18" s="43">
        <f>ROUND(J4/T4,3)</f>
        <v>39.78</v>
      </c>
      <c r="K18" s="39"/>
      <c r="L18" s="4"/>
      <c r="M18" s="4"/>
      <c r="N18" s="4"/>
      <c r="O18" s="4"/>
      <c r="P18" s="4"/>
      <c r="Q18" s="4"/>
      <c r="R18" s="4"/>
      <c r="S18" s="4"/>
      <c r="T18" s="4"/>
    </row>
    <row r="19" spans="1:20" ht="14.25" customHeight="1" x14ac:dyDescent="0.2">
      <c r="B19" s="22">
        <f>ROUND(B5/L5,3)</f>
        <v>0.99299999999999999</v>
      </c>
      <c r="C19" s="22">
        <f>ROUND(C5/M5,3)</f>
        <v>0.99199999999999999</v>
      </c>
      <c r="D19" s="14">
        <f>ROUND(D5/N5,3)</f>
        <v>32.162999999999997</v>
      </c>
      <c r="E19" s="13">
        <f t="shared" si="12"/>
        <v>5.5490000000000004</v>
      </c>
      <c r="F19" s="13">
        <f>ROUND(F5/P5,3)</f>
        <v>1.337</v>
      </c>
      <c r="G19" s="13">
        <f>ROUND(G5/Q5,3)</f>
        <v>29.495999999999999</v>
      </c>
      <c r="H19" s="15">
        <f>ROUND(H5/R5,3)</f>
        <v>36.863</v>
      </c>
      <c r="I19" s="13">
        <f>ROUND(I5/S5,3)</f>
        <v>16.016999999999999</v>
      </c>
      <c r="J19" s="13">
        <f>ROUND(J5/T5,3)</f>
        <v>35.015999999999998</v>
      </c>
      <c r="K19" s="26"/>
      <c r="L19" s="4"/>
      <c r="M19" s="4"/>
      <c r="N19" s="4"/>
      <c r="O19" s="4"/>
      <c r="P19" s="4"/>
      <c r="Q19" s="4"/>
      <c r="R19" s="4"/>
      <c r="S19" s="4"/>
      <c r="T19" s="4"/>
    </row>
    <row r="20" spans="1:20" ht="14.25" customHeight="1" x14ac:dyDescent="0.2">
      <c r="B20" s="21">
        <f>ROUND(B6/L6,3)</f>
        <v>0.98899999999999999</v>
      </c>
      <c r="C20" s="21">
        <f>ROUND(C6/M6,3)</f>
        <v>0.997</v>
      </c>
      <c r="D20" s="12">
        <f>ROUND(D6/N6,3)</f>
        <v>32.274999999999999</v>
      </c>
      <c r="E20" s="13">
        <f t="shared" si="12"/>
        <v>5.7149999999999999</v>
      </c>
      <c r="F20" s="16">
        <f>ROUND(F6/P6,3)</f>
        <v>1.353</v>
      </c>
      <c r="G20" s="13">
        <f>ROUND(G6/Q6,3)</f>
        <v>29.157</v>
      </c>
      <c r="H20" s="13">
        <f>ROUND(H6/R6,3)</f>
        <v>37.572000000000003</v>
      </c>
      <c r="I20" s="13">
        <f>ROUND(I6/S6,3)</f>
        <v>14.045999999999999</v>
      </c>
      <c r="J20" s="15">
        <f>ROUND(J6/T6,3)</f>
        <v>35.274000000000001</v>
      </c>
      <c r="K20" s="26"/>
      <c r="L20" s="4"/>
      <c r="M20" s="4"/>
      <c r="N20" s="4"/>
      <c r="O20" s="4"/>
      <c r="P20" s="4"/>
      <c r="Q20" s="4"/>
      <c r="R20" s="4"/>
      <c r="S20" s="4"/>
      <c r="T20" s="4"/>
    </row>
    <row r="21" spans="1:20" ht="14.25" customHeight="1" x14ac:dyDescent="0.2">
      <c r="B21" s="21">
        <f>ROUND(B7/L7,3)</f>
        <v>0.93600000000000005</v>
      </c>
      <c r="C21" s="21">
        <f>ROUND(C7/M7,3)</f>
        <v>0.94599999999999995</v>
      </c>
      <c r="D21" s="12">
        <f>ROUND(D7/N7,3)</f>
        <v>34.109000000000002</v>
      </c>
      <c r="E21" s="13">
        <f t="shared" si="12"/>
        <v>4.8220000000000001</v>
      </c>
      <c r="F21" s="13">
        <f>ROUND(F7/P7,3)</f>
        <v>1.575</v>
      </c>
      <c r="G21" s="13">
        <f>ROUND(G7/Q7,3)</f>
        <v>32.762</v>
      </c>
      <c r="H21" s="13">
        <f>ROUND(H7/R7,3)</f>
        <v>37.011000000000003</v>
      </c>
      <c r="I21" s="15">
        <f>ROUND(I7/S7,3)</f>
        <v>13.356999999999999</v>
      </c>
      <c r="J21" s="13">
        <f>ROUND(J7/T7,3)</f>
        <v>34.838000000000001</v>
      </c>
      <c r="K21" s="26"/>
      <c r="L21" s="4"/>
      <c r="M21" s="4"/>
      <c r="N21" s="4"/>
      <c r="O21" s="4"/>
      <c r="P21" s="4"/>
      <c r="Q21" s="4"/>
      <c r="R21" s="4"/>
      <c r="S21" s="4"/>
      <c r="T21" s="4"/>
    </row>
    <row r="22" spans="1:20" ht="14.25" customHeight="1" x14ac:dyDescent="0.2">
      <c r="B22" s="21">
        <f>ROUND(B8/L8,3)</f>
        <v>0.90900000000000003</v>
      </c>
      <c r="C22" s="21">
        <f>ROUND(C8/M8,3)</f>
        <v>0.97099999999999997</v>
      </c>
      <c r="D22" s="12">
        <f>ROUND(D8/N8,3)</f>
        <v>35.140999999999998</v>
      </c>
      <c r="E22" s="13">
        <f t="shared" si="12"/>
        <v>5.3330000000000002</v>
      </c>
      <c r="F22" s="15">
        <f>ROUND(F8/P8,3)</f>
        <v>2.5</v>
      </c>
      <c r="G22" s="16">
        <f>ROUND(G8/Q8,3)</f>
        <v>32.610999999999997</v>
      </c>
      <c r="H22" s="13">
        <f>ROUND(H8/R8,3)</f>
        <v>37.890999999999998</v>
      </c>
      <c r="I22" s="13">
        <f>ROUND(I8/S8,3)</f>
        <v>11.747</v>
      </c>
      <c r="J22" s="13">
        <f>ROUND(J8/T8,3)</f>
        <v>35.512999999999998</v>
      </c>
      <c r="K22" s="26"/>
      <c r="L22" s="4"/>
      <c r="M22" s="4"/>
      <c r="N22" s="4"/>
      <c r="O22" s="4"/>
      <c r="P22" s="4"/>
      <c r="Q22" s="4"/>
      <c r="R22" s="4"/>
      <c r="S22" s="4"/>
      <c r="T22" s="4"/>
    </row>
    <row r="23" spans="1:20" ht="14.25" customHeight="1" x14ac:dyDescent="0.2">
      <c r="B23" s="21">
        <f>ROUND(B9/L9,3)</f>
        <v>0.90800000000000003</v>
      </c>
      <c r="C23" s="21">
        <f>ROUND(C9/M9,3)</f>
        <v>0.999</v>
      </c>
      <c r="D23" s="12">
        <f>ROUND(D9/N9,3)</f>
        <v>35.17</v>
      </c>
      <c r="E23" s="13">
        <f t="shared" si="12"/>
        <v>5.327</v>
      </c>
      <c r="F23" s="13">
        <f>ROUND(F9/P9,3)</f>
        <v>1.667</v>
      </c>
      <c r="G23" s="13">
        <f>ROUND(G9/Q9,3)</f>
        <v>32.25</v>
      </c>
      <c r="H23" s="13">
        <f>ROUND(H9/R9,3)</f>
        <v>38.137</v>
      </c>
      <c r="I23" s="13">
        <f>ROUND(I9/S9,3)</f>
        <v>14.095000000000001</v>
      </c>
      <c r="J23" s="13">
        <f>ROUND(J9/T9,3)</f>
        <v>36.145000000000003</v>
      </c>
      <c r="K23" s="26"/>
      <c r="L23" s="4"/>
      <c r="M23" s="4"/>
      <c r="N23" s="4"/>
      <c r="O23" s="4"/>
      <c r="P23" s="4"/>
      <c r="Q23" s="4"/>
      <c r="R23" s="4"/>
      <c r="S23" s="4"/>
      <c r="T23" s="4"/>
    </row>
    <row r="24" spans="1:20" ht="14.25" customHeight="1" x14ac:dyDescent="0.2">
      <c r="B24" s="21">
        <f>ROUND(B10/L10,3)</f>
        <v>0.90800000000000003</v>
      </c>
      <c r="C24" s="21">
        <f>ROUND(C10/M10,3)</f>
        <v>1</v>
      </c>
      <c r="D24" s="12">
        <f>ROUND(D10/N10,3)</f>
        <v>35.176000000000002</v>
      </c>
      <c r="E24" s="13">
        <f t="shared" si="12"/>
        <v>3.302</v>
      </c>
      <c r="F24" s="13">
        <f>ROUND(F10/P10,3)</f>
        <v>1.667</v>
      </c>
      <c r="G24" s="13">
        <f>ROUND(G10/Q10,3)</f>
        <v>33.753</v>
      </c>
      <c r="H24" s="13">
        <f>ROUND(H10/R10,3)</f>
        <v>37.131</v>
      </c>
      <c r="I24" s="13">
        <f>ROUND(I10/S10,3)</f>
        <v>12.096</v>
      </c>
      <c r="J24" s="13">
        <f>ROUND(J10/T10,3)</f>
        <v>35.262</v>
      </c>
      <c r="K24" s="26"/>
      <c r="L24" s="4"/>
      <c r="M24" s="4"/>
      <c r="N24" s="4"/>
      <c r="O24" s="4"/>
      <c r="P24" s="4"/>
      <c r="Q24" s="4"/>
      <c r="R24" s="4"/>
      <c r="S24" s="4"/>
      <c r="T24" s="4"/>
    </row>
    <row r="25" spans="1:20" ht="14.25" customHeight="1" x14ac:dyDescent="0.2">
      <c r="B25" s="22">
        <f>ROUND(B11/L11,3)</f>
        <v>1.0629999999999999</v>
      </c>
      <c r="C25" s="22">
        <f>ROUND(C11/M11,3)</f>
        <v>1.171</v>
      </c>
      <c r="D25" s="14">
        <f>ROUND(D11/N11,3)</f>
        <v>30.027999999999999</v>
      </c>
      <c r="E25" s="13">
        <f t="shared" si="12"/>
        <v>2.891</v>
      </c>
      <c r="F25" s="13">
        <f>ROUND(F11/P11,3)</f>
        <v>2</v>
      </c>
      <c r="G25" s="15">
        <f>ROUND(G11/Q11,3)</f>
        <v>34.08</v>
      </c>
      <c r="H25" s="13">
        <f>ROUND(H11/R11,3)</f>
        <v>29.725000000000001</v>
      </c>
      <c r="I25" s="13">
        <f>ROUND(I11/S11,3)</f>
        <v>10.86</v>
      </c>
      <c r="J25" s="16">
        <f>ROUND(J11/T11,3)</f>
        <v>27.689</v>
      </c>
      <c r="K25" s="26"/>
      <c r="L25" s="4"/>
      <c r="M25" s="4"/>
      <c r="N25" s="4"/>
      <c r="O25" s="4"/>
      <c r="P25" s="4"/>
      <c r="Q25" s="4"/>
      <c r="R25" s="4"/>
      <c r="S25" s="4"/>
      <c r="T25" s="4"/>
    </row>
    <row r="26" spans="1:20" ht="14.25" customHeight="1" x14ac:dyDescent="0.2">
      <c r="B26" s="22">
        <f>ROUND(B12/L12,3)</f>
        <v>0.95099999999999996</v>
      </c>
      <c r="C26" s="22">
        <f>ROUND(C12/M12,3)</f>
        <v>0.89500000000000002</v>
      </c>
      <c r="D26" s="14">
        <f>ROUND(D12/N12,3)</f>
        <v>33.558</v>
      </c>
      <c r="E26" s="13">
        <f t="shared" si="12"/>
        <v>2.9630000000000001</v>
      </c>
      <c r="F26" s="13">
        <f>ROUND(F12/P12,3)</f>
        <v>2.5</v>
      </c>
      <c r="G26" s="13">
        <f>ROUND(G12/Q12,3)</f>
        <v>34.357999999999997</v>
      </c>
      <c r="H26" s="15">
        <f>ROUND(H12/R12,3)</f>
        <v>34.085999999999999</v>
      </c>
      <c r="I26" s="13">
        <f>ROUND(I12/S12,3)</f>
        <v>14.250999999999999</v>
      </c>
      <c r="J26" s="15">
        <f>ROUND(J12/T12,3)</f>
        <v>34.268999999999998</v>
      </c>
      <c r="K26" s="26"/>
      <c r="L26" s="4"/>
      <c r="M26" s="4"/>
      <c r="N26" s="4"/>
      <c r="O26" s="4"/>
      <c r="P26" s="4"/>
      <c r="Q26" s="4"/>
      <c r="R26" s="4"/>
      <c r="S26" s="4"/>
      <c r="T26" s="4"/>
    </row>
    <row r="27" spans="1:20" ht="14.25" customHeight="1" x14ac:dyDescent="0.2">
      <c r="B27" s="22">
        <f t="shared" ref="B27:D27" si="13">ROUND(B13/L13,3)</f>
        <v>0.95899999999999996</v>
      </c>
      <c r="C27" s="22">
        <f t="shared" si="13"/>
        <v>1.008</v>
      </c>
      <c r="D27" s="14">
        <f t="shared" si="13"/>
        <v>33.281999999999996</v>
      </c>
      <c r="E27" s="13">
        <f t="shared" si="12"/>
        <v>2.8</v>
      </c>
      <c r="F27" s="13">
        <f t="shared" ref="F27:J27" si="14">ROUND(F13/P13,3)</f>
        <v>2.5</v>
      </c>
      <c r="G27" s="15">
        <f t="shared" si="14"/>
        <v>32.976999999999997</v>
      </c>
      <c r="H27" s="16">
        <f t="shared" si="14"/>
        <v>34.143000000000001</v>
      </c>
      <c r="I27" s="13">
        <f t="shared" si="14"/>
        <v>13.728999999999999</v>
      </c>
      <c r="J27" s="16">
        <f t="shared" si="14"/>
        <v>34.774999999999999</v>
      </c>
      <c r="K27" s="26"/>
      <c r="L27" s="4"/>
      <c r="M27" s="4"/>
      <c r="N27" s="4"/>
      <c r="O27" s="4"/>
      <c r="P27" s="4"/>
      <c r="Q27" s="4"/>
      <c r="R27" s="4"/>
      <c r="S27" s="4"/>
      <c r="T27" s="4"/>
    </row>
    <row r="28" spans="1:20" ht="14.25" customHeight="1" x14ac:dyDescent="0.2">
      <c r="B28" s="22">
        <f t="shared" ref="B28:D28" si="15">ROUND(B14/L14,3)</f>
        <v>0.93300000000000005</v>
      </c>
      <c r="C28" s="22">
        <f t="shared" si="15"/>
        <v>0.97299999999999998</v>
      </c>
      <c r="D28" s="14">
        <f t="shared" si="15"/>
        <v>34.212000000000003</v>
      </c>
      <c r="E28" s="13">
        <f t="shared" si="12"/>
        <v>2.7869999999999999</v>
      </c>
      <c r="F28" s="13">
        <f t="shared" ref="F28:J28" si="16">ROUND(F14/P14,3)</f>
        <v>2.5</v>
      </c>
      <c r="G28" s="15">
        <f t="shared" si="16"/>
        <v>32.396000000000001</v>
      </c>
      <c r="H28" s="16">
        <f t="shared" si="16"/>
        <v>35.514000000000003</v>
      </c>
      <c r="I28" s="13">
        <f t="shared" si="16"/>
        <v>10.933999999999999</v>
      </c>
      <c r="J28" s="16">
        <f t="shared" si="16"/>
        <v>34.500999999999998</v>
      </c>
    </row>
    <row r="29" spans="1:20" ht="14.25" customHeight="1" x14ac:dyDescent="0.2">
      <c r="B29" s="22"/>
      <c r="C29" s="22"/>
      <c r="D29" s="14"/>
      <c r="E29" s="14"/>
      <c r="F29" s="13"/>
      <c r="G29" s="15"/>
      <c r="H29" s="13"/>
      <c r="I29" s="13"/>
      <c r="J29" s="16"/>
    </row>
    <row r="32" spans="1:20" ht="14.25" customHeight="1" x14ac:dyDescent="0.2">
      <c r="A32" s="5"/>
      <c r="B32" s="5"/>
      <c r="C32" s="5"/>
      <c r="D32" s="5"/>
      <c r="E32" s="5"/>
      <c r="F32" s="5"/>
      <c r="G32" s="5"/>
      <c r="I32" s="5"/>
      <c r="J32" s="5"/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2026-05-01T15:17:55Z</dcterms:modified>
</cp:coreProperties>
</file>