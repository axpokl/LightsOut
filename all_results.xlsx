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9B33CA49-26C2-487E-94E4-DF9485646F03}" xr6:coauthVersionLast="47" xr6:coauthVersionMax="47" xr10:uidLastSave="{00000000-0000-0000-0000-000000000000}"/>
  <bookViews>
    <workbookView xWindow="-120" yWindow="-120" windowWidth="38640" windowHeight="2112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61" i="2" l="1"/>
  <c r="Z61" i="2"/>
  <c r="Y61" i="2"/>
  <c r="X61" i="2"/>
  <c r="W61" i="2"/>
  <c r="M61" i="2"/>
  <c r="K61" i="2"/>
  <c r="D61" i="2"/>
  <c r="D60" i="2"/>
  <c r="M60" i="2"/>
  <c r="AA60" i="2"/>
  <c r="Z60" i="2"/>
  <c r="Y60" i="2"/>
  <c r="X60" i="2"/>
  <c r="W60" i="2"/>
  <c r="AA59" i="2"/>
  <c r="Z59" i="2"/>
  <c r="Y59" i="2"/>
  <c r="X59" i="2"/>
  <c r="W59" i="2"/>
  <c r="M59" i="2"/>
  <c r="D59" i="2"/>
  <c r="D58" i="2"/>
  <c r="D57" i="2"/>
  <c r="AA58" i="2"/>
  <c r="Z58" i="2"/>
  <c r="Y58" i="2"/>
  <c r="X58" i="2"/>
  <c r="W58" i="2"/>
  <c r="AA57" i="2"/>
  <c r="Z57" i="2"/>
  <c r="Y57" i="2"/>
  <c r="X57" i="2"/>
  <c r="W57" i="2"/>
  <c r="M58" i="2"/>
  <c r="K58" i="2" s="1"/>
  <c r="M57" i="2"/>
  <c r="AA56" i="2"/>
  <c r="Z56" i="2"/>
  <c r="Y56" i="2"/>
  <c r="X56" i="2"/>
  <c r="W56" i="2"/>
  <c r="M56" i="2"/>
  <c r="D56" i="2"/>
  <c r="AA55" i="2"/>
  <c r="Z55" i="2"/>
  <c r="Y55" i="2"/>
  <c r="X55" i="2"/>
  <c r="W55" i="2"/>
  <c r="M55" i="2"/>
  <c r="D55" i="2"/>
  <c r="AA54" i="2"/>
  <c r="Z54" i="2"/>
  <c r="Y54" i="2"/>
  <c r="X54" i="2"/>
  <c r="W54" i="2"/>
  <c r="M54" i="2"/>
  <c r="D54" i="2"/>
  <c r="AA53" i="2"/>
  <c r="Z53" i="2"/>
  <c r="Y53" i="2"/>
  <c r="X53" i="2"/>
  <c r="W53" i="2"/>
  <c r="AA52" i="2"/>
  <c r="Z52" i="2"/>
  <c r="Y52" i="2"/>
  <c r="X52" i="2"/>
  <c r="W52" i="2"/>
  <c r="M53" i="2"/>
  <c r="K53" i="2" s="1"/>
  <c r="M52" i="2"/>
  <c r="K52" i="2" s="1"/>
  <c r="D53" i="2"/>
  <c r="D52" i="2"/>
  <c r="AA51" i="2"/>
  <c r="Z51" i="2"/>
  <c r="Y51" i="2"/>
  <c r="X51" i="2"/>
  <c r="W51" i="2"/>
  <c r="M51" i="2"/>
  <c r="D51" i="2"/>
  <c r="AA50" i="2"/>
  <c r="Z50" i="2"/>
  <c r="Y50" i="2"/>
  <c r="X50" i="2"/>
  <c r="W50" i="2"/>
  <c r="D50" i="2"/>
  <c r="M50" i="2"/>
  <c r="AA49" i="2"/>
  <c r="Z49" i="2"/>
  <c r="Y49" i="2"/>
  <c r="X49" i="2"/>
  <c r="W49" i="2"/>
  <c r="M49" i="2"/>
  <c r="D49" i="2"/>
  <c r="AA48" i="2"/>
  <c r="Z48" i="2"/>
  <c r="Y48" i="2"/>
  <c r="X48" i="2"/>
  <c r="W48" i="2"/>
  <c r="M48" i="2"/>
  <c r="D48" i="2"/>
  <c r="AA47" i="2"/>
  <c r="Z47" i="2"/>
  <c r="Y47" i="2"/>
  <c r="X47" i="2"/>
  <c r="W47" i="2"/>
  <c r="M47" i="2"/>
  <c r="D47" i="2"/>
  <c r="AA46" i="2"/>
  <c r="Z46" i="2"/>
  <c r="Y46" i="2"/>
  <c r="X46" i="2"/>
  <c r="W46" i="2"/>
  <c r="M46" i="2"/>
  <c r="D46" i="2"/>
  <c r="AA45" i="2"/>
  <c r="Z45" i="2"/>
  <c r="Y45" i="2"/>
  <c r="X45" i="2"/>
  <c r="W45" i="2"/>
  <c r="M45" i="2"/>
  <c r="D45" i="2"/>
  <c r="AA44" i="2"/>
  <c r="Z44" i="2"/>
  <c r="Y44" i="2"/>
  <c r="X44" i="2"/>
  <c r="W44" i="2"/>
  <c r="D44" i="2"/>
  <c r="AA43" i="2"/>
  <c r="Z43" i="2"/>
  <c r="Y43" i="2"/>
  <c r="X43" i="2"/>
  <c r="W43" i="2"/>
  <c r="M43" i="2"/>
  <c r="D43" i="2"/>
  <c r="AA42" i="2"/>
  <c r="Z42" i="2"/>
  <c r="Y42" i="2"/>
  <c r="X42" i="2"/>
  <c r="W42" i="2"/>
  <c r="M42" i="2"/>
  <c r="D42" i="2"/>
  <c r="AA41" i="2"/>
  <c r="Z41" i="2"/>
  <c r="Y41" i="2"/>
  <c r="X41" i="2"/>
  <c r="W41" i="2"/>
  <c r="D41" i="2"/>
  <c r="M41" i="2"/>
  <c r="AA40" i="2"/>
  <c r="Z40" i="2"/>
  <c r="Y40" i="2"/>
  <c r="X40" i="2"/>
  <c r="W40" i="2"/>
  <c r="M40" i="2"/>
  <c r="D40" i="2"/>
  <c r="AA39" i="2"/>
  <c r="Z39" i="2"/>
  <c r="Y39" i="2"/>
  <c r="X39" i="2"/>
  <c r="W39" i="2"/>
  <c r="M39" i="2"/>
  <c r="D39" i="2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C61" i="2" l="1"/>
  <c r="V60" i="2"/>
  <c r="L61" i="2"/>
  <c r="U61" i="2" s="1"/>
  <c r="V61" i="2"/>
  <c r="B61" i="2"/>
  <c r="T61" i="2" s="1"/>
  <c r="L60" i="2"/>
  <c r="C58" i="2"/>
  <c r="C60" i="2"/>
  <c r="U60" i="2" s="1"/>
  <c r="B60" i="2"/>
  <c r="K60" i="2"/>
  <c r="T60" i="2" s="1"/>
  <c r="C59" i="2"/>
  <c r="L59" i="2"/>
  <c r="U59" i="2" s="1"/>
  <c r="V59" i="2"/>
  <c r="K59" i="2"/>
  <c r="B59" i="2"/>
  <c r="B58" i="2"/>
  <c r="T58" i="2" s="1"/>
  <c r="C57" i="2"/>
  <c r="B57" i="2"/>
  <c r="L58" i="2"/>
  <c r="K57" i="2"/>
  <c r="V58" i="2"/>
  <c r="V57" i="2"/>
  <c r="L57" i="2"/>
  <c r="L56" i="2"/>
  <c r="C56" i="2"/>
  <c r="U56" i="2" s="1"/>
  <c r="V56" i="2"/>
  <c r="K56" i="2"/>
  <c r="B56" i="2"/>
  <c r="L55" i="2"/>
  <c r="C55" i="2"/>
  <c r="V55" i="2"/>
  <c r="K55" i="2"/>
  <c r="B55" i="2"/>
  <c r="L52" i="2"/>
  <c r="V54" i="2"/>
  <c r="L54" i="2"/>
  <c r="V53" i="2"/>
  <c r="C53" i="2"/>
  <c r="K54" i="2"/>
  <c r="L53" i="2"/>
  <c r="C54" i="2"/>
  <c r="B54" i="2"/>
  <c r="V52" i="2"/>
  <c r="B52" i="2"/>
  <c r="T52" i="2" s="1"/>
  <c r="C52" i="2"/>
  <c r="B53" i="2"/>
  <c r="T53" i="2" s="1"/>
  <c r="C51" i="2"/>
  <c r="L51" i="2"/>
  <c r="V51" i="2"/>
  <c r="K51" i="2"/>
  <c r="B51" i="2"/>
  <c r="C50" i="2"/>
  <c r="L50" i="2"/>
  <c r="V50" i="2"/>
  <c r="B50" i="2"/>
  <c r="K50" i="2"/>
  <c r="L46" i="2"/>
  <c r="L49" i="2"/>
  <c r="C49" i="2"/>
  <c r="V49" i="2"/>
  <c r="K49" i="2"/>
  <c r="B49" i="2"/>
  <c r="V48" i="2"/>
  <c r="L48" i="2"/>
  <c r="C48" i="2"/>
  <c r="K48" i="2"/>
  <c r="B48" i="2"/>
  <c r="K46" i="2"/>
  <c r="C46" i="2"/>
  <c r="V47" i="2"/>
  <c r="L47" i="2"/>
  <c r="V46" i="2"/>
  <c r="B47" i="2"/>
  <c r="C47" i="2"/>
  <c r="K47" i="2"/>
  <c r="B46" i="2"/>
  <c r="C45" i="2"/>
  <c r="V45" i="2"/>
  <c r="K45" i="2"/>
  <c r="B45" i="2"/>
  <c r="C44" i="2"/>
  <c r="B44" i="2"/>
  <c r="M44" i="2"/>
  <c r="L45" i="2" s="1"/>
  <c r="L43" i="2"/>
  <c r="C43" i="2"/>
  <c r="V43" i="2"/>
  <c r="K43" i="2"/>
  <c r="B43" i="2"/>
  <c r="L42" i="2"/>
  <c r="C42" i="2"/>
  <c r="V42" i="2"/>
  <c r="K42" i="2"/>
  <c r="B42" i="2"/>
  <c r="L41" i="2"/>
  <c r="C41" i="2"/>
  <c r="V41" i="2"/>
  <c r="B41" i="2"/>
  <c r="K41" i="2"/>
  <c r="L40" i="2"/>
  <c r="C40" i="2"/>
  <c r="C39" i="2"/>
  <c r="V40" i="2"/>
  <c r="K40" i="2"/>
  <c r="B40" i="2"/>
  <c r="L38" i="2"/>
  <c r="L39" i="2"/>
  <c r="V39" i="2"/>
  <c r="K39" i="2"/>
  <c r="B39" i="2"/>
  <c r="L36" i="2"/>
  <c r="L35" i="2"/>
  <c r="B37" i="2"/>
  <c r="K38" i="2"/>
  <c r="C38" i="2"/>
  <c r="B38" i="2"/>
  <c r="V38" i="2"/>
  <c r="K37" i="2"/>
  <c r="V37" i="2"/>
  <c r="K35" i="2"/>
  <c r="L37" i="2"/>
  <c r="C37" i="2"/>
  <c r="C36" i="2"/>
  <c r="V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T57" i="2" l="1"/>
  <c r="U58" i="2"/>
  <c r="U54" i="2"/>
  <c r="U57" i="2"/>
  <c r="T59" i="2"/>
  <c r="U55" i="2"/>
  <c r="T54" i="2"/>
  <c r="T56" i="2"/>
  <c r="U51" i="2"/>
  <c r="U52" i="2"/>
  <c r="U53" i="2"/>
  <c r="T55" i="2"/>
  <c r="U50" i="2"/>
  <c r="U48" i="2"/>
  <c r="T49" i="2"/>
  <c r="T48" i="2"/>
  <c r="U41" i="2"/>
  <c r="U46" i="2"/>
  <c r="T51" i="2"/>
  <c r="T50" i="2"/>
  <c r="U47" i="2"/>
  <c r="U49" i="2"/>
  <c r="T46" i="2"/>
  <c r="T47" i="2"/>
  <c r="T42" i="2"/>
  <c r="T45" i="2"/>
  <c r="T43" i="2"/>
  <c r="U43" i="2"/>
  <c r="U45" i="2"/>
  <c r="L44" i="2"/>
  <c r="U44" i="2" s="1"/>
  <c r="V44" i="2"/>
  <c r="K44" i="2"/>
  <c r="T44" i="2" s="1"/>
  <c r="T40" i="2"/>
  <c r="U39" i="2"/>
  <c r="U36" i="2"/>
  <c r="U42" i="2"/>
  <c r="U40" i="2"/>
  <c r="T41" i="2"/>
  <c r="U38" i="2"/>
  <c r="T37" i="2"/>
  <c r="T38" i="2"/>
  <c r="T35" i="2"/>
  <c r="T39" i="2"/>
  <c r="U35" i="2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<sst xmlns="http://schemas.openxmlformats.org/spreadsheetml/2006/main" count="207" uniqueCount="70">
  <si>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</si>
  <si>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</si>
  <si>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</si>
  <si>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</si>
  <si>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</si>
  <si>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</si>
  <si>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</si>
  <si>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</si>
  <si>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</si>
  <si>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</si>
  <si>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</si>
  <si>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</si>
  <si>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</si>
  <si>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</si>
  <si>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</si>
  <si>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</si>
  <si>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</si>
  <si>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</si>
  <si>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</si>
  <si>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</si>
  <si>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</si>
  <si>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</si>
  <si>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</si>
  <si>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</si>
  <si>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</si>
  <si>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</si>
  <si>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</si>
  <si>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</si>
  <si>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</si>
  <si>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</si>
  <si>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</si>
  <si>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</si>
  <si>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</si>
  <si>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</si>
  <si>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</si>
  <si>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</si>
  <si>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</si>
  <si>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</si>
  <si>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</si>
  <si>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</si>
  <si>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</si>
  <si>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</si>
  <si>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</si>
  <si>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</si>
  <si>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</si>
  <si>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</si>
  <si>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</si>
  <si>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</si>
  <si>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</si>
  <si>
    <t>H61</t>
    <phoneticPr fontId="2" type="noConversion"/>
  </si>
  <si>
    <t>H62</t>
    <phoneticPr fontId="2" type="noConversion"/>
  </si>
  <si>
    <t>H63</t>
    <phoneticPr fontId="2" type="noConversion"/>
  </si>
  <si>
    <t>H64</t>
    <phoneticPr fontId="2" type="noConversion"/>
  </si>
  <si>
    <t>H65</t>
    <phoneticPr fontId="2" type="noConversion"/>
  </si>
  <si>
    <t>H66</t>
    <phoneticPr fontId="2" type="noConversion"/>
  </si>
  <si>
    <t>H67</t>
    <phoneticPr fontId="2" type="noConversion"/>
  </si>
  <si>
    <t>H68</t>
    <phoneticPr fontId="2" type="noConversion"/>
  </si>
  <si>
    <t>H69</t>
    <phoneticPr fontId="2" type="noConversion"/>
  </si>
  <si>
    <t>H70</t>
    <phoneticPr fontId="2" type="noConversion"/>
  </si>
  <si>
    <t>H71</t>
    <phoneticPr fontId="2" type="noConversion"/>
  </si>
  <si>
    <t>H72</t>
    <phoneticPr fontId="2" type="noConversion"/>
  </si>
  <si>
    <t>H73</t>
    <phoneticPr fontId="2" type="noConversion"/>
  </si>
  <si>
    <t>H74</t>
    <phoneticPr fontId="2" type="noConversion"/>
  </si>
  <si>
    <t>H75</t>
    <phoneticPr fontId="2" type="noConversion"/>
  </si>
  <si>
    <t>H76</t>
    <phoneticPr fontId="2" type="noConversion"/>
  </si>
  <si>
    <t>H77</t>
    <phoneticPr fontId="2" type="noConversion"/>
  </si>
  <si>
    <t>H78</t>
    <phoneticPr fontId="2" type="noConversion"/>
  </si>
  <si>
    <t>H79</t>
    <phoneticPr fontId="2" type="noConversion"/>
  </si>
  <si>
    <t>H80</t>
    <phoneticPr fontId="2" type="noConversion"/>
  </si>
  <si>
    <t>H81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</si>
</sst>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61"/>
  <sheetViews>
    <sheetView tabSelected="1" topLeftCell="A28" workbookViewId="0">
      <selection activeCell="Z61" sqref="Z61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3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3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3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7.111016829302784</v>
      </c>
      <c r="C22" s="2">
        <f t="shared" ref="C22" si="25">D21/D22</f>
        <v>1.2634705133644462</v>
      </c>
      <c r="D22" s="6">
        <f t="shared" ref="D22" si="26">SUM(F22:H22)</f>
        <v>70.710000000000008</v>
      </c>
      <c r="E22" s="9">
        <v>294.77</v>
      </c>
      <c r="F22" s="9">
        <v>30.51</v>
      </c>
      <c r="G22" s="13">
        <v>38.659999999999997</v>
      </c>
      <c r="H22" s="9">
        <v>1.54</v>
      </c>
      <c r="I22" s="14">
        <v>27.42</v>
      </c>
      <c r="J22" s="17" t="s">
        <v>30</v>
      </c>
      <c r="K22" s="2">
        <f t="shared" ref="K22:K24" si="27">M$2/M22</f>
        <v>12.913312693498451</v>
      </c>
      <c r="L22" s="2">
        <f t="shared" ref="L22:L24" si="28">M21/M22</f>
        <v>1.173374613003096</v>
      </c>
      <c r="M22" s="6">
        <f t="shared" ref="M22:M24" si="29">SUM(O22:Q22)</f>
        <v>3.23</v>
      </c>
      <c r="N22" s="9">
        <v>13.94</v>
      </c>
      <c r="O22" s="9">
        <v>1.2</v>
      </c>
      <c r="P22" s="13">
        <v>1.76</v>
      </c>
      <c r="Q22" s="9">
        <v>0.27</v>
      </c>
      <c r="R22" s="14">
        <v>1.34</v>
      </c>
      <c r="S22" s="17" t="s">
        <v>30</v>
      </c>
      <c r="T22" s="2">
        <f t="shared" ref="T22" si="30">ROUND(B22/K22,3)</f>
        <v>0.55100000000000005</v>
      </c>
      <c r="U22" s="2">
        <f t="shared" ref="U22" si="31">ROUND(C22/L22,3)</f>
        <v>1.077</v>
      </c>
      <c r="V22" s="6">
        <f t="shared" ref="V22" si="32">ROUND(D22/M22,3)</f>
        <v>21.891999999999999</v>
      </c>
      <c r="W22" s="9">
        <f t="shared" ref="W22" si="33">ROUND(E22/N22,3)</f>
        <v>21.146000000000001</v>
      </c>
      <c r="X22" s="9">
        <f t="shared" ref="X22" si="34">ROUND(F22/O22,3)</f>
        <v>25.425000000000001</v>
      </c>
      <c r="Y22" s="13">
        <f t="shared" ref="Y22" si="35">ROUND(G22/P22,3)</f>
        <v>21.966000000000001</v>
      </c>
      <c r="Z22" s="9">
        <f t="shared" ref="Z22" si="36">ROUND(H22/Q22,3)</f>
        <v>5.7039999999999997</v>
      </c>
      <c r="AA22" s="14">
        <f t="shared" ref="AA22" si="37">ROUND(I22/R22,3)</f>
        <v>20.463000000000001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6.9392768423958033</v>
      </c>
      <c r="C23" s="5">
        <f t="shared" ref="C23" si="39">D22/D23</f>
        <v>0.97584874413469502</v>
      </c>
      <c r="D23" s="6">
        <f t="shared" ref="D23" si="40">SUM(F23:H23)</f>
        <v>72.460000000000008</v>
      </c>
      <c r="E23" s="13">
        <v>245.07</v>
      </c>
      <c r="F23" s="9">
        <v>31.89</v>
      </c>
      <c r="G23" s="9">
        <v>39.07</v>
      </c>
      <c r="H23" s="9">
        <v>1.5</v>
      </c>
      <c r="I23" s="10">
        <v>27.8</v>
      </c>
      <c r="J23" s="17" t="s">
        <v>31</v>
      </c>
      <c r="K23" s="5">
        <f t="shared" si="27"/>
        <v>13.241269841269839</v>
      </c>
      <c r="L23" s="5">
        <f t="shared" si="28"/>
        <v>1.0253968253968253</v>
      </c>
      <c r="M23" s="6">
        <f t="shared" si="29"/>
        <v>3.1500000000000004</v>
      </c>
      <c r="N23" s="13">
        <v>11.42</v>
      </c>
      <c r="O23" s="9">
        <v>1.1399999999999999</v>
      </c>
      <c r="P23" s="9">
        <v>1.73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0.95199999999999996</v>
      </c>
      <c r="V23" s="6">
        <f t="shared" ref="V23" si="43">ROUND(D23/M23,3)</f>
        <v>23.003</v>
      </c>
      <c r="W23" s="13">
        <f t="shared" ref="W23" si="44">ROUND(E23/N23,3)</f>
        <v>21.46</v>
      </c>
      <c r="X23" s="9">
        <f t="shared" ref="X23" si="45">ROUND(F23/O23,3)</f>
        <v>27.974</v>
      </c>
      <c r="Y23" s="9">
        <f t="shared" ref="Y23" si="46">ROUND(G23/P23,3)</f>
        <v>22.584</v>
      </c>
      <c r="Z23" s="9">
        <f t="shared" ref="Z23" si="47">ROUND(H23/Q23,3)</f>
        <v>5.3570000000000002</v>
      </c>
      <c r="AA23" s="10">
        <f t="shared" ref="AA23" si="48">ROUND(I23/R23,3)</f>
        <v>21.221</v>
      </c>
    </row>
    <row r="24" spans="1:27" ht="14.25" customHeight="1" x14ac:dyDescent="0.2">
      <c r="A24" s="17" t="s">
        <v>32</v>
      </c>
      <c r="B24" s="2">
        <f t="shared" ref="B24" si="49">D$2/D24</f>
        <v>7.9800031740993482</v>
      </c>
      <c r="C24" s="2">
        <f t="shared" ref="C24" si="50">D23/D24</f>
        <v>1.1499761942548803</v>
      </c>
      <c r="D24" s="6">
        <f t="shared" ref="D24" si="51">SUM(F24:H24)</f>
        <v>63.01</v>
      </c>
      <c r="E24" s="9">
        <v>263.2</v>
      </c>
      <c r="F24" s="9">
        <v>32.31</v>
      </c>
      <c r="G24" s="13">
        <v>29.29</v>
      </c>
      <c r="H24" s="9">
        <v>1.41</v>
      </c>
      <c r="I24" s="14">
        <v>21</v>
      </c>
      <c r="J24" s="17" t="s">
        <v>32</v>
      </c>
      <c r="K24" s="2">
        <f t="shared" si="27"/>
        <v>14.949820788530463</v>
      </c>
      <c r="L24" s="2">
        <f t="shared" si="28"/>
        <v>1.1290322580645162</v>
      </c>
      <c r="M24" s="6">
        <f t="shared" si="29"/>
        <v>2.79</v>
      </c>
      <c r="N24" s="9">
        <v>11.46</v>
      </c>
      <c r="O24" s="9">
        <v>1.1299999999999999</v>
      </c>
      <c r="P24" s="13">
        <v>1.38</v>
      </c>
      <c r="Q24" s="9">
        <v>0.28000000000000003</v>
      </c>
      <c r="R24" s="14">
        <v>1.01</v>
      </c>
      <c r="S24" s="17" t="s">
        <v>32</v>
      </c>
      <c r="T24" s="2">
        <f t="shared" ref="T24" si="52">ROUND(B24/K24,3)</f>
        <v>0.53400000000000003</v>
      </c>
      <c r="U24" s="2">
        <f t="shared" ref="U24" si="53">ROUND(C24/L24,3)</f>
        <v>1.0189999999999999</v>
      </c>
      <c r="V24" s="6">
        <f t="shared" ref="V24" si="54">ROUND(D24/M24,3)</f>
        <v>22.584</v>
      </c>
      <c r="W24" s="9">
        <f t="shared" ref="W24" si="55">ROUND(E24/N24,3)</f>
        <v>22.966999999999999</v>
      </c>
      <c r="X24" s="9">
        <f t="shared" ref="X24" si="56">ROUND(F24/O24,3)</f>
        <v>28.593</v>
      </c>
      <c r="Y24" s="13">
        <f t="shared" ref="Y24" si="57">ROUND(G24/P24,3)</f>
        <v>21.225000000000001</v>
      </c>
      <c r="Z24" s="9">
        <f t="shared" ref="Z24" si="58">ROUND(H24/Q24,3)</f>
        <v>5.0359999999999996</v>
      </c>
      <c r="AA24" s="14">
        <f t="shared" ref="AA24" si="59">ROUND(I24/R24,3)</f>
        <v>20.792000000000002</v>
      </c>
    </row>
    <row r="25" spans="1:27" ht="14.25" customHeight="1" x14ac:dyDescent="0.2">
      <c r="A25" s="17" t="s">
        <v>33</v>
      </c>
      <c r="B25" s="2">
        <f t="shared" ref="B25" si="60">D$2/D25</f>
        <v>8.3636061210911503</v>
      </c>
      <c r="C25" s="2">
        <f t="shared" ref="C25" si="61">D24/D25</f>
        <v>1.0480705256154359</v>
      </c>
      <c r="D25" s="6">
        <f t="shared" ref="D25" si="62">SUM(F25:H25)</f>
        <v>60.12</v>
      </c>
      <c r="E25" s="9">
        <v>244.44</v>
      </c>
      <c r="F25" s="9">
        <v>31.77</v>
      </c>
      <c r="G25" s="13">
        <v>26.74</v>
      </c>
      <c r="H25" s="9">
        <v>1.61</v>
      </c>
      <c r="I25" s="14">
        <v>18.14</v>
      </c>
      <c r="J25" s="17" t="s">
        <v>33</v>
      </c>
      <c r="K25" s="2">
        <f t="shared" ref="K25:K27" si="63">M$2/M25</f>
        <v>15.919847328244272</v>
      </c>
      <c r="L25" s="2">
        <f t="shared" ref="L25:L27" si="64">M24/M25</f>
        <v>1.0648854961832062</v>
      </c>
      <c r="M25" s="6">
        <f t="shared" ref="M25:M27" si="65">SUM(O25:Q25)</f>
        <v>2.62</v>
      </c>
      <c r="N25" s="9">
        <v>11.44</v>
      </c>
      <c r="O25" s="9">
        <v>1.1100000000000001</v>
      </c>
      <c r="P25" s="13">
        <v>1.23</v>
      </c>
      <c r="Q25" s="9">
        <v>0.28000000000000003</v>
      </c>
      <c r="R25" s="14">
        <v>0.9</v>
      </c>
      <c r="S25" s="17" t="s">
        <v>33</v>
      </c>
      <c r="T25" s="2">
        <f t="shared" ref="T25" si="66">ROUND(B25/K25,3)</f>
        <v>0.52500000000000002</v>
      </c>
      <c r="U25" s="2">
        <f t="shared" ref="U25" si="67">ROUND(C25/L25,3)</f>
        <v>0.98399999999999999</v>
      </c>
      <c r="V25" s="6">
        <f t="shared" ref="V25" si="68">ROUND(D25/M25,3)</f>
        <v>22.946999999999999</v>
      </c>
      <c r="W25" s="9">
        <f t="shared" ref="W25" si="69">ROUND(E25/N25,3)</f>
        <v>21.367000000000001</v>
      </c>
      <c r="X25" s="9">
        <f t="shared" ref="X25" si="70">ROUND(F25/O25,3)</f>
        <v>28.622</v>
      </c>
      <c r="Y25" s="13">
        <f t="shared" ref="Y25" si="71">ROUND(G25/P25,3)</f>
        <v>21.74</v>
      </c>
      <c r="Z25" s="9">
        <f t="shared" ref="Z25" si="72">ROUND(H25/Q25,3)</f>
        <v>5.75</v>
      </c>
      <c r="AA25" s="14">
        <f t="shared" ref="AA25" si="73">ROUND(I25/R25,3)</f>
        <v>20.155999999999999</v>
      </c>
    </row>
    <row r="26" spans="1:27" ht="14.25" customHeight="1" x14ac:dyDescent="0.2">
      <c r="A26" s="17" t="s">
        <v>34</v>
      </c>
      <c r="B26" s="2">
        <f t="shared" ref="B26" si="74">D$2/D26</f>
        <v>9.3132061492869038</v>
      </c>
      <c r="C26" s="2">
        <f t="shared" ref="C26" si="75">D25/D26</f>
        <v>1.1135395443600666</v>
      </c>
      <c r="D26" s="6">
        <f t="shared" ref="D26" si="76">SUM(F26:H26)</f>
        <v>53.99</v>
      </c>
      <c r="E26" s="9">
        <v>243.14</v>
      </c>
      <c r="F26" s="9">
        <v>31.66</v>
      </c>
      <c r="G26" s="13">
        <v>20.87</v>
      </c>
      <c r="H26" s="9">
        <v>1.46</v>
      </c>
      <c r="I26" s="14">
        <v>16.89</v>
      </c>
      <c r="J26" s="17" t="s">
        <v>34</v>
      </c>
      <c r="K26" s="2">
        <f t="shared" si="63"/>
        <v>17.379166666666666</v>
      </c>
      <c r="L26" s="2">
        <f t="shared" si="64"/>
        <v>1.0916666666666668</v>
      </c>
      <c r="M26" s="6">
        <f t="shared" si="65"/>
        <v>2.4</v>
      </c>
      <c r="N26" s="9">
        <v>11.49</v>
      </c>
      <c r="O26" s="9">
        <v>1.0900000000000001</v>
      </c>
      <c r="P26" s="13">
        <v>1.04</v>
      </c>
      <c r="Q26" s="9">
        <v>0.27</v>
      </c>
      <c r="R26" s="14">
        <v>0.87</v>
      </c>
      <c r="S26" s="17" t="s">
        <v>34</v>
      </c>
      <c r="T26" s="2">
        <f t="shared" ref="T26" si="77">ROUND(B26/K26,3)</f>
        <v>0.53600000000000003</v>
      </c>
      <c r="U26" s="2">
        <f t="shared" ref="U26" si="78">ROUND(C26/L26,3)</f>
        <v>1.02</v>
      </c>
      <c r="V26" s="6">
        <f t="shared" ref="V26" si="79">ROUND(D26/M26,3)</f>
        <v>22.495999999999999</v>
      </c>
      <c r="W26" s="9">
        <f t="shared" ref="W26" si="80">ROUND(E26/N26,3)</f>
        <v>21.161000000000001</v>
      </c>
      <c r="X26" s="9">
        <f t="shared" ref="X26" si="81">ROUND(F26/O26,3)</f>
        <v>29.045999999999999</v>
      </c>
      <c r="Y26" s="13">
        <f t="shared" ref="Y26" si="82">ROUND(G26/P26,3)</f>
        <v>20.067</v>
      </c>
      <c r="Z26" s="9">
        <f t="shared" ref="Z26" si="83">ROUND(H26/Q26,3)</f>
        <v>5.407</v>
      </c>
      <c r="AA26" s="14">
        <f t="shared" ref="AA26" si="84">ROUND(I26/R26,3)</f>
        <v>19.414000000000001</v>
      </c>
    </row>
    <row r="27" spans="1:27" ht="14.25" customHeight="1" x14ac:dyDescent="0.2">
      <c r="A27" s="17" t="s">
        <v>35</v>
      </c>
      <c r="B27" s="2">
        <f t="shared" ref="B27" si="85">D$2/D27</f>
        <v>10.481967896602042</v>
      </c>
      <c r="C27" s="2">
        <f t="shared" ref="C27" si="86">D26/D27</f>
        <v>1.1254951011048573</v>
      </c>
      <c r="D27" s="6">
        <f t="shared" ref="D27" si="87">SUM(F27:H27)</f>
        <v>47.97</v>
      </c>
      <c r="E27" s="9">
        <v>244.45</v>
      </c>
      <c r="F27" s="13">
        <v>25.66</v>
      </c>
      <c r="G27" s="9">
        <v>20.75</v>
      </c>
      <c r="H27" s="9">
        <v>1.56</v>
      </c>
      <c r="I27" s="10">
        <v>16.809999999999999</v>
      </c>
      <c r="J27" s="17" t="s">
        <v>35</v>
      </c>
      <c r="K27" s="2">
        <f t="shared" si="63"/>
        <v>18.134782608695648</v>
      </c>
      <c r="L27" s="2">
        <f t="shared" si="64"/>
        <v>1.043478260869565</v>
      </c>
      <c r="M27" s="6">
        <f t="shared" si="65"/>
        <v>2.3000000000000003</v>
      </c>
      <c r="N27" s="9">
        <v>11.49</v>
      </c>
      <c r="O27" s="13">
        <v>0.98</v>
      </c>
      <c r="P27" s="9">
        <v>1.05</v>
      </c>
      <c r="Q27" s="9">
        <v>0.27</v>
      </c>
      <c r="R27" s="10">
        <v>0.87</v>
      </c>
      <c r="S27" s="17" t="s">
        <v>35</v>
      </c>
      <c r="T27" s="2">
        <f t="shared" ref="T27" si="88">ROUND(B27/K27,3)</f>
        <v>0.57799999999999996</v>
      </c>
      <c r="U27" s="2">
        <f t="shared" ref="U27" si="89">ROUND(C27/L27,3)</f>
        <v>1.079</v>
      </c>
      <c r="V27" s="6">
        <f t="shared" ref="V27" si="90">ROUND(D27/M27,3)</f>
        <v>20.856999999999999</v>
      </c>
      <c r="W27" s="9">
        <f t="shared" ref="W27" si="91">ROUND(E27/N27,3)</f>
        <v>21.274999999999999</v>
      </c>
      <c r="X27" s="13">
        <f t="shared" ref="X27" si="92">ROUND(F27/O27,3)</f>
        <v>26.184000000000001</v>
      </c>
      <c r="Y27" s="9">
        <f t="shared" ref="Y27" si="93">ROUND(G27/P27,3)</f>
        <v>19.762</v>
      </c>
      <c r="Z27" s="9">
        <f t="shared" ref="Z27" si="94">ROUND(H27/Q27,3)</f>
        <v>5.7779999999999996</v>
      </c>
      <c r="AA27" s="10">
        <f t="shared" ref="AA27" si="95">ROUND(I27/R27,3)</f>
        <v>19.321999999999999</v>
      </c>
    </row>
    <row r="28" spans="1:27" ht="14.25" customHeight="1" x14ac:dyDescent="0.2">
      <c r="A28" s="17" t="s">
        <v>36</v>
      </c>
      <c r="B28" s="2">
        <f t="shared" ref="B28" si="96">D$2/D28</f>
        <v>10.947528848247332</v>
      </c>
      <c r="C28" s="2">
        <f t="shared" ref="C28" si="97">D27/D28</f>
        <v>1.0444154147615936</v>
      </c>
      <c r="D28" s="6">
        <f t="shared" ref="D28" si="98">SUM(F28:H28)</f>
        <v>45.93</v>
      </c>
      <c r="E28" s="9">
        <v>245.89</v>
      </c>
      <c r="F28" s="9">
        <v>25.38</v>
      </c>
      <c r="G28" s="13">
        <v>19.059999999999999</v>
      </c>
      <c r="H28" s="9">
        <v>1.49</v>
      </c>
      <c r="I28" s="14">
        <v>14.59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1.0747663551401869</v>
      </c>
      <c r="M28" s="6">
        <f t="shared" ref="M28" si="101">SUM(O28:Q28)</f>
        <v>2.14</v>
      </c>
      <c r="N28" s="9">
        <v>11.39</v>
      </c>
      <c r="O28" s="9">
        <v>0.91</v>
      </c>
      <c r="P28" s="13">
        <v>0.96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0.56200000000000006</v>
      </c>
      <c r="U28" s="2">
        <f t="shared" ref="U28" si="103">ROUND(C28/L28,3)</f>
        <v>0.97199999999999998</v>
      </c>
      <c r="V28" s="6">
        <f t="shared" ref="V28" si="104">ROUND(D28/M28,3)</f>
        <v>21.463000000000001</v>
      </c>
      <c r="W28" s="9">
        <f t="shared" ref="W28" si="105">ROUND(E28/N28,3)</f>
        <v>21.588000000000001</v>
      </c>
      <c r="X28" s="9">
        <f t="shared" ref="X28" si="106">ROUND(F28/O28,3)</f>
        <v>27.89</v>
      </c>
      <c r="Y28" s="13">
        <f t="shared" ref="Y28" si="107">ROUND(G28/P28,3)</f>
        <v>19.853999999999999</v>
      </c>
      <c r="Z28" s="9">
        <f t="shared" ref="Z28" si="108">ROUND(H28/Q28,3)</f>
        <v>5.5190000000000001</v>
      </c>
      <c r="AA28" s="14">
        <f t="shared" ref="AA28" si="109">ROUND(I28/R28,3)</f>
        <v>19.196999999999999</v>
      </c>
    </row>
    <row r="29" spans="1:27" ht="14.25" customHeight="1" x14ac:dyDescent="0.2">
      <c r="A29" s="17" t="s">
        <v>37</v>
      </c>
      <c r="B29" s="2">
        <f t="shared" ref="B29" si="110">D$2/D29</f>
        <v>13.033177812337998</v>
      </c>
      <c r="C29" s="2">
        <f t="shared" ref="C29" si="111">D28/D29</f>
        <v>1.1905132192846035</v>
      </c>
      <c r="D29" s="6">
        <f t="shared" ref="D29" si="112">SUM(F29:H29)</f>
        <v>38.58</v>
      </c>
      <c r="E29" s="9">
        <v>243.45</v>
      </c>
      <c r="F29" s="9">
        <v>24.9</v>
      </c>
      <c r="G29" s="13">
        <v>12.11</v>
      </c>
      <c r="H29" s="9">
        <v>1.57</v>
      </c>
      <c r="I29" s="19">
        <v>15.35</v>
      </c>
      <c r="J29" s="17" t="s">
        <v>37</v>
      </c>
      <c r="K29" s="2">
        <f t="shared" ref="K29:K30" si="113">M$2/M29</f>
        <v>22.792349726775953</v>
      </c>
      <c r="L29" s="2">
        <f t="shared" ref="L29:L30" si="114">M28/M29</f>
        <v>1.1693989071038251</v>
      </c>
      <c r="M29" s="6">
        <f t="shared" ref="M29:M30" si="115">SUM(O29:Q29)</f>
        <v>1.83</v>
      </c>
      <c r="N29" s="9">
        <v>11.6</v>
      </c>
      <c r="O29" s="9">
        <v>0.92</v>
      </c>
      <c r="P29" s="13">
        <v>0.64</v>
      </c>
      <c r="Q29" s="9">
        <v>0.27</v>
      </c>
      <c r="R29" s="19">
        <v>0.76</v>
      </c>
      <c r="S29" s="17" t="s">
        <v>37</v>
      </c>
      <c r="T29" s="2">
        <f t="shared" ref="T29" si="116">ROUND(B29/K29,3)</f>
        <v>0.57199999999999995</v>
      </c>
      <c r="U29" s="2">
        <f t="shared" ref="U29" si="117">ROUND(C29/L29,3)</f>
        <v>1.018</v>
      </c>
      <c r="V29" s="6">
        <f t="shared" ref="V29" si="118">ROUND(D29/M29,3)</f>
        <v>21.082000000000001</v>
      </c>
      <c r="W29" s="9">
        <f t="shared" ref="W29" si="119">ROUND(E29/N29,3)</f>
        <v>20.986999999999998</v>
      </c>
      <c r="X29" s="9">
        <f t="shared" ref="X29" si="120">ROUND(F29/O29,3)</f>
        <v>27.065000000000001</v>
      </c>
      <c r="Y29" s="13">
        <f t="shared" ref="Y29" si="121">ROUND(G29/P29,3)</f>
        <v>18.922000000000001</v>
      </c>
      <c r="Z29" s="9">
        <f t="shared" ref="Z29" si="122">ROUND(H29/Q29,3)</f>
        <v>5.8150000000000004</v>
      </c>
      <c r="AA29" s="19">
        <f t="shared" ref="AA29" si="123">ROUND(I29/R29,3)</f>
        <v>20.196999999999999</v>
      </c>
    </row>
    <row r="30" spans="1:27" ht="14.25" customHeight="1" x14ac:dyDescent="0.2">
      <c r="A30" s="17" t="s">
        <v>38</v>
      </c>
      <c r="B30" s="5">
        <f t="shared" ref="B30" si="124">D$2/D30</f>
        <v>13.090861754751366</v>
      </c>
      <c r="C30" s="5">
        <f t="shared" ref="C30" si="125">D29/D30</f>
        <v>1.0044259307472012</v>
      </c>
      <c r="D30" s="4">
        <f t="shared" ref="D30" si="126">SUM(F30:H30)</f>
        <v>38.409999999999997</v>
      </c>
      <c r="E30" s="13">
        <v>203.17</v>
      </c>
      <c r="F30" s="9">
        <v>25.03</v>
      </c>
      <c r="G30" s="9">
        <v>11.97</v>
      </c>
      <c r="H30" s="9">
        <v>1.41</v>
      </c>
      <c r="I30" s="10">
        <v>14.57</v>
      </c>
      <c r="J30" s="17" t="s">
        <v>38</v>
      </c>
      <c r="K30" s="5">
        <f t="shared" si="113"/>
        <v>22.424731182795693</v>
      </c>
      <c r="L30" s="5">
        <f t="shared" si="114"/>
        <v>0.9838709677419355</v>
      </c>
      <c r="M30" s="4">
        <f t="shared" si="115"/>
        <v>1.86</v>
      </c>
      <c r="N30" s="13">
        <v>9.52</v>
      </c>
      <c r="O30" s="9">
        <v>0.95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0.58399999999999996</v>
      </c>
      <c r="U30" s="5">
        <f t="shared" ref="U30" si="128">ROUND(C30/L30,3)</f>
        <v>1.0209999999999999</v>
      </c>
      <c r="V30" s="4">
        <f t="shared" ref="V30" si="129">ROUND(D30/M30,3)</f>
        <v>20.651</v>
      </c>
      <c r="W30" s="13">
        <f t="shared" ref="W30" si="130">ROUND(E30/N30,3)</f>
        <v>21.341000000000001</v>
      </c>
      <c r="X30" s="9">
        <f t="shared" ref="X30" si="131">ROUND(F30/O30,3)</f>
        <v>26.347000000000001</v>
      </c>
      <c r="Y30" s="9">
        <f t="shared" ref="Y30" si="132">ROUND(G30/P30,3)</f>
        <v>18.414999999999999</v>
      </c>
      <c r="Z30" s="9">
        <f t="shared" ref="Z30" si="133">ROUND(H30/Q30,3)</f>
        <v>5.423</v>
      </c>
      <c r="AA30" s="10">
        <f t="shared" ref="AA30" si="134">ROUND(I30/R30,3)</f>
        <v>18.922000000000001</v>
      </c>
    </row>
    <row r="31" spans="1:27" ht="14.25" customHeight="1" x14ac:dyDescent="0.2">
      <c r="A31" s="17" t="s">
        <v>39</v>
      </c>
      <c r="B31" s="2">
        <f t="shared" ref="B31" si="135">D$2/D31</f>
        <v>13.176624737945492</v>
      </c>
      <c r="C31" s="2">
        <f t="shared" ref="C31" si="136">D30/D31</f>
        <v>1.0065513626834381</v>
      </c>
      <c r="D31" s="6">
        <f t="shared" ref="D31" si="137">SUM(F31:H31)</f>
        <v>38.159999999999997</v>
      </c>
      <c r="E31" s="9">
        <v>202.69</v>
      </c>
      <c r="F31" s="9">
        <v>24.9</v>
      </c>
      <c r="G31" s="9">
        <v>12.18</v>
      </c>
      <c r="H31" s="13">
        <v>1.08</v>
      </c>
      <c r="I31" s="10">
        <v>14.71</v>
      </c>
      <c r="J31" s="17" t="s">
        <v>39</v>
      </c>
      <c r="K31" s="2">
        <f t="shared" ref="K31:K39" si="138">M$2/M31</f>
        <v>25.588957055214717</v>
      </c>
      <c r="L31" s="2">
        <f t="shared" ref="L31:L39" si="139">M30/M31</f>
        <v>1.1411042944785277</v>
      </c>
      <c r="M31" s="6">
        <f t="shared" ref="M31:M39" si="140">SUM(O31:Q31)</f>
        <v>1.6300000000000001</v>
      </c>
      <c r="N31" s="9">
        <v>9.5</v>
      </c>
      <c r="O31" s="9">
        <v>0.96</v>
      </c>
      <c r="P31" s="9">
        <v>0.64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0.51500000000000001</v>
      </c>
      <c r="U31" s="2">
        <f t="shared" ref="U31" si="142">ROUND(C31/L31,3)</f>
        <v>0.88200000000000001</v>
      </c>
      <c r="V31" s="6">
        <f t="shared" ref="V31" si="143">ROUND(D31/M31,3)</f>
        <v>23.411000000000001</v>
      </c>
      <c r="W31" s="9">
        <f t="shared" ref="W31" si="144">ROUND(E31/N31,3)</f>
        <v>21.335999999999999</v>
      </c>
      <c r="X31" s="9">
        <f t="shared" ref="X31" si="145">ROUND(F31/O31,3)</f>
        <v>25.937999999999999</v>
      </c>
      <c r="Y31" s="9">
        <f t="shared" ref="Y31" si="146">ROUND(G31/P31,3)</f>
        <v>19.030999999999999</v>
      </c>
      <c r="Z31" s="13">
        <f t="shared" ref="Z31" si="147">ROUND(H31/Q31,3)</f>
        <v>36</v>
      </c>
      <c r="AA31" s="10">
        <f t="shared" ref="AA31" si="148">ROUND(I31/R31,3)</f>
        <v>19.613</v>
      </c>
    </row>
    <row r="32" spans="1:27" ht="14.25" customHeight="1" x14ac:dyDescent="0.2">
      <c r="A32" s="17" t="s">
        <v>40</v>
      </c>
      <c r="B32" s="5">
        <f t="shared" ref="B32" si="149">D$2/D32</f>
        <v>13.560409924487594</v>
      </c>
      <c r="C32" s="5">
        <f t="shared" ref="C32" si="150">D31/D32</f>
        <v>1.029126213592233</v>
      </c>
      <c r="D32" s="4">
        <f t="shared" ref="D32" si="151">SUM(F32:H32)</f>
        <v>37.08</v>
      </c>
      <c r="E32" s="9">
        <v>203.18</v>
      </c>
      <c r="F32" s="13">
        <v>23.97</v>
      </c>
      <c r="G32" s="9">
        <v>12.04</v>
      </c>
      <c r="H32" s="9">
        <v>1.07</v>
      </c>
      <c r="I32" s="10">
        <v>14.73</v>
      </c>
      <c r="J32" s="17" t="s">
        <v>40</v>
      </c>
      <c r="K32" s="5">
        <f t="shared" si="138"/>
        <v>27.622516556291387</v>
      </c>
      <c r="L32" s="5">
        <f t="shared" si="139"/>
        <v>1.0794701986754967</v>
      </c>
      <c r="M32" s="4">
        <f t="shared" si="140"/>
        <v>1.51</v>
      </c>
      <c r="N32" s="9">
        <v>9.61</v>
      </c>
      <c r="O32" s="13">
        <v>0.84</v>
      </c>
      <c r="P32" s="9">
        <v>0.64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0.49099999999999999</v>
      </c>
      <c r="U32" s="5">
        <f t="shared" ref="U32:U33" si="153">ROUND(C32/L32,3)</f>
        <v>0.95299999999999996</v>
      </c>
      <c r="V32" s="4">
        <f t="shared" ref="V32:V33" si="154">ROUND(D32/M32,3)</f>
        <v>24.556000000000001</v>
      </c>
      <c r="W32" s="9">
        <f t="shared" ref="W32:W33" si="155">ROUND(E32/N32,3)</f>
        <v>21.143000000000001</v>
      </c>
      <c r="X32" s="13">
        <f t="shared" ref="X32:X33" si="156">ROUND(F32/O32,3)</f>
        <v>28.536000000000001</v>
      </c>
      <c r="Y32" s="9">
        <f t="shared" ref="Y32:Y33" si="157">ROUND(G32/P32,3)</f>
        <v>18.812999999999999</v>
      </c>
      <c r="Z32" s="9">
        <f t="shared" ref="Z32:Z33" si="158">ROUND(H32/Q32,3)</f>
        <v>35.667000000000002</v>
      </c>
      <c r="AA32" s="10">
        <f t="shared" ref="AA32:AA33" si="159">ROUND(I32/R32,3)</f>
        <v>19.382000000000001</v>
      </c>
    </row>
    <row r="33" spans="1:28" ht="14.25" customHeight="1" x14ac:dyDescent="0.2">
      <c r="A33" s="12" t="s">
        <v>41</v>
      </c>
      <c r="B33" s="5">
        <f t="shared" ref="B33" si="160">D$2/D33</f>
        <v>13.791003839824461</v>
      </c>
      <c r="C33" s="5">
        <f t="shared" ref="C33" si="161">D32/D33</f>
        <v>1.0170049369171692</v>
      </c>
      <c r="D33" s="4">
        <f t="shared" ref="D33" si="162">SUM(F33:H33)</f>
        <v>36.460000000000008</v>
      </c>
      <c r="E33" s="9">
        <v>202.94</v>
      </c>
      <c r="F33" s="9">
        <v>24.03</v>
      </c>
      <c r="G33" s="13">
        <v>11.34</v>
      </c>
      <c r="H33" s="9">
        <v>1.0900000000000001</v>
      </c>
      <c r="I33" s="14">
        <v>14.5</v>
      </c>
      <c r="J33" s="12" t="s">
        <v>41</v>
      </c>
      <c r="K33" s="5">
        <f t="shared" si="138"/>
        <v>29.581560283687942</v>
      </c>
      <c r="L33" s="5">
        <f t="shared" si="139"/>
        <v>1.0709219858156029</v>
      </c>
      <c r="M33" s="4">
        <f t="shared" si="140"/>
        <v>1.41</v>
      </c>
      <c r="N33" s="9">
        <v>9.83</v>
      </c>
      <c r="O33" s="9">
        <v>0.78</v>
      </c>
      <c r="P33" s="13">
        <v>0.6</v>
      </c>
      <c r="Q33" s="9">
        <v>0.03</v>
      </c>
      <c r="R33" s="14">
        <v>0.72</v>
      </c>
      <c r="S33" s="12" t="s">
        <v>41</v>
      </c>
      <c r="T33" s="5">
        <f t="shared" si="152"/>
        <v>0.46600000000000003</v>
      </c>
      <c r="U33" s="5">
        <f t="shared" si="153"/>
        <v>0.95</v>
      </c>
      <c r="V33" s="4">
        <f t="shared" si="154"/>
        <v>25.858000000000001</v>
      </c>
      <c r="W33" s="9">
        <f t="shared" si="155"/>
        <v>20.645</v>
      </c>
      <c r="X33" s="9">
        <f t="shared" si="156"/>
        <v>30.808</v>
      </c>
      <c r="Y33" s="13">
        <f t="shared" si="157"/>
        <v>18.899999999999999</v>
      </c>
      <c r="Z33" s="9">
        <f t="shared" si="158"/>
        <v>36.332999999999998</v>
      </c>
      <c r="AA33" s="14">
        <f t="shared" si="159"/>
        <v>20.138999999999999</v>
      </c>
    </row>
    <row r="34" spans="1:28" ht="14.25" customHeight="1" x14ac:dyDescent="0.2">
      <c r="A34" s="12" t="s">
        <v>42</v>
      </c>
      <c r="B34" s="2">
        <f t="shared" ref="B34" si="163">D$2/D34</f>
        <v>13.760810071154898</v>
      </c>
      <c r="C34" s="2">
        <f t="shared" ref="C34" si="164">D33/D34</f>
        <v>0.99781061850027386</v>
      </c>
      <c r="D34" s="6">
        <f t="shared" ref="D34" si="165">SUM(F34:H34)</f>
        <v>36.54</v>
      </c>
      <c r="E34" s="18">
        <v>203.04</v>
      </c>
      <c r="F34" s="9">
        <v>24.08</v>
      </c>
      <c r="G34" s="13">
        <v>11.36</v>
      </c>
      <c r="H34" s="9">
        <v>1.1000000000000001</v>
      </c>
      <c r="I34" s="14">
        <v>14.52</v>
      </c>
      <c r="J34" s="12" t="s">
        <v>42</v>
      </c>
      <c r="K34" s="2">
        <f t="shared" si="138"/>
        <v>32.585937499999993</v>
      </c>
      <c r="L34" s="2">
        <f t="shared" si="139"/>
        <v>1.1015625</v>
      </c>
      <c r="M34" s="6">
        <f t="shared" si="140"/>
        <v>1.28</v>
      </c>
      <c r="N34" s="18">
        <v>9.6</v>
      </c>
      <c r="O34" s="9">
        <v>0.82</v>
      </c>
      <c r="P34" s="13">
        <v>0.43</v>
      </c>
      <c r="Q34" s="9">
        <v>0.03</v>
      </c>
      <c r="R34" s="14">
        <v>0.63</v>
      </c>
      <c r="S34" s="12" t="s">
        <v>42</v>
      </c>
      <c r="T34" s="2">
        <f t="shared" ref="T34" si="166">ROUND(B34/K34,3)</f>
        <v>0.42199999999999999</v>
      </c>
      <c r="U34" s="2">
        <f t="shared" ref="U34" si="167">ROUND(C34/L34,3)</f>
        <v>0.90600000000000003</v>
      </c>
      <c r="V34" s="6">
        <f t="shared" ref="V34" si="168">ROUND(D34/M34,3)</f>
        <v>28.547000000000001</v>
      </c>
      <c r="W34" s="18">
        <f t="shared" ref="W34" si="169">ROUND(E34/N34,3)</f>
        <v>21.15</v>
      </c>
      <c r="X34" s="9">
        <f t="shared" ref="X34" si="170">ROUND(F34/O34,3)</f>
        <v>29.366</v>
      </c>
      <c r="Y34" s="13">
        <f t="shared" ref="Y34" si="171">ROUND(G34/P34,3)</f>
        <v>26.419</v>
      </c>
      <c r="Z34" s="9">
        <f t="shared" ref="Z34" si="172">ROUND(H34/Q34,3)</f>
        <v>36.667000000000002</v>
      </c>
      <c r="AA34" s="14">
        <f t="shared" ref="AA34" si="173">ROUND(I34/R34,3)</f>
        <v>23.047999999999998</v>
      </c>
    </row>
    <row r="35" spans="1:28" ht="14.25" customHeight="1" x14ac:dyDescent="0.2">
      <c r="A35" s="12" t="s">
        <v>43</v>
      </c>
      <c r="B35" s="2">
        <f t="shared" ref="B35:B36" si="174">D$2/D35</f>
        <v>19.587845734320215</v>
      </c>
      <c r="C35" s="2">
        <f t="shared" ref="C35:C36" si="175">D34/D35</f>
        <v>1.4234514998052199</v>
      </c>
      <c r="D35" s="6">
        <f t="shared" ref="D35:D36" si="176">SUM(F35:H35)</f>
        <v>25.67</v>
      </c>
      <c r="E35" s="9">
        <v>204.76</v>
      </c>
      <c r="F35" s="13">
        <v>13.17</v>
      </c>
      <c r="G35" s="9">
        <v>11.4</v>
      </c>
      <c r="H35" s="9">
        <v>1.1000000000000001</v>
      </c>
      <c r="I35" s="10">
        <v>14.39</v>
      </c>
      <c r="J35" s="12" t="s">
        <v>43</v>
      </c>
      <c r="K35" s="2">
        <f t="shared" si="138"/>
        <v>33.367999999999995</v>
      </c>
      <c r="L35" s="2">
        <f t="shared" si="139"/>
        <v>1.024</v>
      </c>
      <c r="M35" s="6">
        <f t="shared" si="140"/>
        <v>1.25</v>
      </c>
      <c r="N35" s="9">
        <v>9.39</v>
      </c>
      <c r="O35" s="13">
        <v>0.79</v>
      </c>
      <c r="P35" s="9">
        <v>0.43</v>
      </c>
      <c r="Q35" s="9">
        <v>0.03</v>
      </c>
      <c r="R35" s="10">
        <v>0.63</v>
      </c>
      <c r="S35" s="12" t="s">
        <v>43</v>
      </c>
      <c r="T35" s="2">
        <f t="shared" ref="T35" si="177">ROUND(B35/K35,3)</f>
        <v>0.58699999999999997</v>
      </c>
      <c r="U35" s="2">
        <f t="shared" ref="U35" si="178">ROUND(C35/L35,3)</f>
        <v>1.39</v>
      </c>
      <c r="V35" s="6">
        <f t="shared" ref="V35" si="179">ROUND(D35/M35,3)</f>
        <v>20.536000000000001</v>
      </c>
      <c r="W35" s="9">
        <f t="shared" ref="W35" si="180">ROUND(E35/N35,3)</f>
        <v>21.806000000000001</v>
      </c>
      <c r="X35" s="13">
        <f t="shared" ref="X35" si="181">ROUND(F35/O35,3)</f>
        <v>16.670999999999999</v>
      </c>
      <c r="Y35" s="9">
        <f t="shared" ref="Y35" si="182">ROUND(G35/P35,3)</f>
        <v>26.512</v>
      </c>
      <c r="Z35" s="9">
        <f t="shared" ref="Z35" si="183">ROUND(H35/Q35,3)</f>
        <v>36.667000000000002</v>
      </c>
      <c r="AA35" s="10">
        <f t="shared" ref="AA35" si="184">ROUND(I35/R35,3)</f>
        <v>22.841000000000001</v>
      </c>
    </row>
    <row r="36" spans="1:28" ht="14.25" customHeight="1" x14ac:dyDescent="0.2">
      <c r="A36" s="20" t="s">
        <v>44</v>
      </c>
      <c r="B36" s="2">
        <f t="shared" si="174"/>
        <v>20.357085020242913</v>
      </c>
      <c r="C36" s="2">
        <f t="shared" si="175"/>
        <v>1.0392712550607288</v>
      </c>
      <c r="D36" s="6">
        <f t="shared" si="176"/>
        <v>24.7</v>
      </c>
      <c r="E36" s="9">
        <v>202.61</v>
      </c>
      <c r="F36" s="13">
        <v>12.39</v>
      </c>
      <c r="G36" s="9">
        <v>11.22</v>
      </c>
      <c r="H36" s="9">
        <v>1.0900000000000001</v>
      </c>
      <c r="I36" s="10">
        <v>14.26</v>
      </c>
      <c r="J36" s="20" t="s">
        <v>44</v>
      </c>
      <c r="K36" s="2">
        <f t="shared" si="138"/>
        <v>37.918181818181807</v>
      </c>
      <c r="L36" s="2">
        <f t="shared" si="139"/>
        <v>1.1363636363636362</v>
      </c>
      <c r="M36" s="6">
        <f t="shared" si="140"/>
        <v>1.1000000000000001</v>
      </c>
      <c r="N36" s="9">
        <v>9.51</v>
      </c>
      <c r="O36" s="13">
        <v>0.64</v>
      </c>
      <c r="P36" s="9">
        <v>0.43</v>
      </c>
      <c r="Q36" s="9">
        <v>0.03</v>
      </c>
      <c r="R36" s="10">
        <v>0.64</v>
      </c>
      <c r="S36" s="20" t="s">
        <v>44</v>
      </c>
      <c r="T36" s="2">
        <f t="shared" ref="T36:T37" si="185">ROUND(B36/K36,3)</f>
        <v>0.53700000000000003</v>
      </c>
      <c r="U36" s="2">
        <f t="shared" ref="U36:U37" si="186">ROUND(C36/L36,3)</f>
        <v>0.91500000000000004</v>
      </c>
      <c r="V36" s="6">
        <f t="shared" ref="V36:V37" si="187">ROUND(D36/M36,3)</f>
        <v>22.454999999999998</v>
      </c>
      <c r="W36" s="9">
        <f t="shared" ref="W36:W37" si="188">ROUND(E36/N36,3)</f>
        <v>21.305</v>
      </c>
      <c r="X36" s="13">
        <f t="shared" ref="X36:X37" si="189">ROUND(F36/O36,3)</f>
        <v>19.359000000000002</v>
      </c>
      <c r="Y36" s="9">
        <f t="shared" ref="Y36:Y37" si="190">ROUND(G36/P36,3)</f>
        <v>26.093</v>
      </c>
      <c r="Z36" s="9">
        <f t="shared" ref="Z36:Z37" si="191">ROUND(H36/Q36,3)</f>
        <v>36.332999999999998</v>
      </c>
      <c r="AA36" s="10">
        <f t="shared" ref="AA36:AA37" si="192">ROUND(I36/R36,3)</f>
        <v>22.280999999999999</v>
      </c>
    </row>
    <row r="37" spans="1:28" ht="14.25" customHeight="1" x14ac:dyDescent="0.2">
      <c r="A37" s="20" t="s">
        <v>45</v>
      </c>
      <c r="B37" s="5">
        <f t="shared" ref="B37:B38" si="193">D$2/D37</f>
        <v>20.598934862761162</v>
      </c>
      <c r="C37" s="5">
        <f t="shared" ref="C37:C38" si="194">D36/D37</f>
        <v>1.0118803768947153</v>
      </c>
      <c r="D37" s="4">
        <f t="shared" ref="D37:D38" si="195">SUM(F37:H37)</f>
        <v>24.41</v>
      </c>
      <c r="E37" s="18">
        <v>202.53</v>
      </c>
      <c r="F37" s="18">
        <v>12.29</v>
      </c>
      <c r="G37" s="13">
        <v>11.05</v>
      </c>
      <c r="H37" s="18">
        <v>1.07</v>
      </c>
      <c r="I37" s="14">
        <v>12.67</v>
      </c>
      <c r="J37" s="20" t="s">
        <v>45</v>
      </c>
      <c r="K37" s="5">
        <f t="shared" si="138"/>
        <v>37.576576576576571</v>
      </c>
      <c r="L37" s="5">
        <f t="shared" si="139"/>
        <v>0.99099099099099097</v>
      </c>
      <c r="M37" s="4">
        <f t="shared" si="140"/>
        <v>1.1100000000000001</v>
      </c>
      <c r="N37" s="18">
        <v>9.51</v>
      </c>
      <c r="O37" s="18">
        <v>0.65</v>
      </c>
      <c r="P37" s="13">
        <v>0.43</v>
      </c>
      <c r="Q37" s="18">
        <v>0.03</v>
      </c>
      <c r="R37" s="14">
        <v>0.62</v>
      </c>
      <c r="S37" s="20" t="s">
        <v>45</v>
      </c>
      <c r="T37" s="5">
        <f t="shared" si="185"/>
        <v>0.54800000000000004</v>
      </c>
      <c r="U37" s="5">
        <f t="shared" si="186"/>
        <v>1.0209999999999999</v>
      </c>
      <c r="V37" s="4">
        <f t="shared" si="187"/>
        <v>21.991</v>
      </c>
      <c r="W37" s="18">
        <f t="shared" si="188"/>
        <v>21.297000000000001</v>
      </c>
      <c r="X37" s="18">
        <f t="shared" si="189"/>
        <v>18.908000000000001</v>
      </c>
      <c r="Y37" s="13">
        <f t="shared" si="190"/>
        <v>25.698</v>
      </c>
      <c r="Z37" s="18">
        <f t="shared" si="191"/>
        <v>35.667000000000002</v>
      </c>
      <c r="AA37" s="14">
        <f t="shared" si="192"/>
        <v>20.434999999999999</v>
      </c>
    </row>
    <row r="38" spans="1:28" ht="14.25" customHeight="1" x14ac:dyDescent="0.2">
      <c r="A38" s="20" t="s">
        <v>46</v>
      </c>
      <c r="B38" s="5">
        <f t="shared" si="193"/>
        <v>20.217933252915159</v>
      </c>
      <c r="C38" s="5">
        <f t="shared" si="194"/>
        <v>0.98150381986328916</v>
      </c>
      <c r="D38" s="4">
        <f t="shared" si="195"/>
        <v>24.869999999999997</v>
      </c>
      <c r="E38" s="13">
        <v>144.19999999999999</v>
      </c>
      <c r="F38" s="18">
        <v>12.67</v>
      </c>
      <c r="G38" s="18">
        <v>11.12</v>
      </c>
      <c r="H38" s="18">
        <v>1.08</v>
      </c>
      <c r="I38" s="19">
        <v>13</v>
      </c>
      <c r="J38" s="20" t="s">
        <v>46</v>
      </c>
      <c r="K38" s="5">
        <f t="shared" si="138"/>
        <v>40.105769230769226</v>
      </c>
      <c r="L38" s="5">
        <f t="shared" si="139"/>
        <v>1.0673076923076923</v>
      </c>
      <c r="M38" s="4">
        <f t="shared" si="140"/>
        <v>1.04</v>
      </c>
      <c r="N38" s="13">
        <v>7.02</v>
      </c>
      <c r="O38" s="18">
        <v>0.6</v>
      </c>
      <c r="P38" s="18">
        <v>0.42</v>
      </c>
      <c r="Q38" s="18">
        <v>0.02</v>
      </c>
      <c r="R38" s="19">
        <v>0.61</v>
      </c>
      <c r="S38" s="20" t="s">
        <v>46</v>
      </c>
      <c r="T38" s="5">
        <f t="shared" ref="T38" si="196">ROUND(B38/K38,3)</f>
        <v>0.504</v>
      </c>
      <c r="U38" s="5">
        <f t="shared" ref="U38" si="197">ROUND(C38/L38,3)</f>
        <v>0.92</v>
      </c>
      <c r="V38" s="4">
        <f t="shared" ref="V38" si="198">ROUND(D38/M38,3)</f>
        <v>23.913</v>
      </c>
      <c r="W38" s="13">
        <f t="shared" ref="W38" si="199">ROUND(E38/N38,3)</f>
        <v>20.541</v>
      </c>
      <c r="X38" s="18">
        <f t="shared" ref="X38" si="200">ROUND(F38/O38,3)</f>
        <v>21.117000000000001</v>
      </c>
      <c r="Y38" s="18">
        <f t="shared" ref="Y38" si="201">ROUND(G38/P38,3)</f>
        <v>26.475999999999999</v>
      </c>
      <c r="Z38" s="18">
        <f t="shared" ref="Z38" si="202">ROUND(H38/Q38,3)</f>
        <v>54</v>
      </c>
      <c r="AA38" s="19">
        <f t="shared" ref="AA38" si="203">ROUND(I38/R38,3)</f>
        <v>21.311</v>
      </c>
    </row>
    <row r="39" spans="1:28" ht="14.25" customHeight="1" x14ac:dyDescent="0.2">
      <c r="A39" s="20" t="s">
        <v>47</v>
      </c>
      <c r="B39" s="5">
        <f t="shared" ref="B39" si="204">D$2/D39</f>
        <v>20.777685950413222</v>
      </c>
      <c r="C39" s="5">
        <f t="shared" ref="C39" si="205">D38/D39</f>
        <v>1.027685950413223</v>
      </c>
      <c r="D39" s="4">
        <f t="shared" ref="D39" si="206">SUM(F39:H39)</f>
        <v>24.2</v>
      </c>
      <c r="E39" s="13">
        <v>1.55</v>
      </c>
      <c r="F39" s="9">
        <v>12.11</v>
      </c>
      <c r="G39" s="9">
        <v>11.02</v>
      </c>
      <c r="H39" s="9">
        <v>1.07</v>
      </c>
      <c r="I39" s="10">
        <v>12.65</v>
      </c>
      <c r="J39" s="20" t="s">
        <v>47</v>
      </c>
      <c r="K39" s="5">
        <f t="shared" si="138"/>
        <v>40.105769230769226</v>
      </c>
      <c r="L39" s="5">
        <f t="shared" si="139"/>
        <v>1</v>
      </c>
      <c r="M39" s="4">
        <f t="shared" si="140"/>
        <v>1.04</v>
      </c>
      <c r="N39" s="13">
        <v>0.37</v>
      </c>
      <c r="O39" s="9">
        <v>0.6</v>
      </c>
      <c r="P39" s="9">
        <v>0.42</v>
      </c>
      <c r="Q39" s="9">
        <v>0.02</v>
      </c>
      <c r="R39" s="10">
        <v>0.61</v>
      </c>
      <c r="S39" s="20" t="s">
        <v>47</v>
      </c>
      <c r="T39" s="5">
        <f t="shared" ref="T39" si="207">ROUND(B39/K39,3)</f>
        <v>0.51800000000000002</v>
      </c>
      <c r="U39" s="5">
        <f t="shared" ref="U39" si="208">ROUND(C39/L39,3)</f>
        <v>1.028</v>
      </c>
      <c r="V39" s="4">
        <f t="shared" ref="V39" si="209">ROUND(D39/M39,3)</f>
        <v>23.268999999999998</v>
      </c>
      <c r="W39" s="13">
        <f t="shared" ref="W39" si="210">ROUND(E39/N39,3)</f>
        <v>4.1890000000000001</v>
      </c>
      <c r="X39" s="9">
        <f t="shared" ref="X39" si="211">ROUND(F39/O39,3)</f>
        <v>20.183</v>
      </c>
      <c r="Y39" s="9">
        <f t="shared" ref="Y39" si="212">ROUND(G39/P39,3)</f>
        <v>26.238</v>
      </c>
      <c r="Z39" s="9">
        <f t="shared" ref="Z39" si="213">ROUND(H39/Q39,3)</f>
        <v>53.5</v>
      </c>
      <c r="AA39" s="10">
        <f t="shared" ref="AA39" si="214">ROUND(I39/R39,3)</f>
        <v>20.738</v>
      </c>
    </row>
    <row r="40" spans="1:28" s="18" customFormat="1" ht="14.25" customHeight="1" x14ac:dyDescent="0.2">
      <c r="A40" s="20" t="s">
        <v>48</v>
      </c>
      <c r="B40" s="5">
        <f t="shared" ref="B40:B41" si="215">D$2/D40</f>
        <v>20.64121510673235</v>
      </c>
      <c r="C40" s="5">
        <f t="shared" ref="C40:C41" si="216">D39/D40</f>
        <v>0.99343185550082114</v>
      </c>
      <c r="D40" s="4">
        <f t="shared" ref="D40:D41" si="217">SUM(F40:H40)</f>
        <v>24.359999999999996</v>
      </c>
      <c r="E40" s="13">
        <v>1.36</v>
      </c>
      <c r="F40" s="18">
        <v>12.2</v>
      </c>
      <c r="G40" s="18">
        <v>11.1</v>
      </c>
      <c r="H40" s="18">
        <v>1.06</v>
      </c>
      <c r="I40" s="19">
        <v>12.74</v>
      </c>
      <c r="J40" s="20" t="s">
        <v>48</v>
      </c>
      <c r="K40" s="5">
        <f t="shared" ref="K40" si="218">M$2/M40</f>
        <v>39.723809523809514</v>
      </c>
      <c r="L40" s="5">
        <f t="shared" ref="L40" si="219">M39/M40</f>
        <v>0.99047619047619051</v>
      </c>
      <c r="M40" s="4">
        <f t="shared" ref="M40" si="220">SUM(O40:Q40)</f>
        <v>1.05</v>
      </c>
      <c r="N40" s="13">
        <v>0.2</v>
      </c>
      <c r="O40" s="18">
        <v>0.61</v>
      </c>
      <c r="P40" s="18">
        <v>0.42</v>
      </c>
      <c r="Q40" s="18">
        <v>0.02</v>
      </c>
      <c r="R40" s="19">
        <v>0.62</v>
      </c>
      <c r="S40" s="20" t="s">
        <v>48</v>
      </c>
      <c r="T40" s="5">
        <f t="shared" ref="T40" si="221">ROUND(B40/K40,3)</f>
        <v>0.52</v>
      </c>
      <c r="U40" s="5">
        <f t="shared" ref="U40" si="222">ROUND(C40/L40,3)</f>
        <v>1.0029999999999999</v>
      </c>
      <c r="V40" s="4">
        <f t="shared" ref="V40" si="223">ROUND(D40/M40,3)</f>
        <v>23.2</v>
      </c>
      <c r="W40" s="13">
        <f t="shared" ref="W40" si="224">ROUND(E40/N40,3)</f>
        <v>6.8</v>
      </c>
      <c r="X40" s="18">
        <f t="shared" ref="X40" si="225">ROUND(F40/O40,3)</f>
        <v>20</v>
      </c>
      <c r="Y40" s="18">
        <f t="shared" ref="Y40" si="226">ROUND(G40/P40,3)</f>
        <v>26.428999999999998</v>
      </c>
      <c r="Z40" s="18">
        <f t="shared" ref="Z40" si="227">ROUND(H40/Q40,3)</f>
        <v>53</v>
      </c>
      <c r="AA40" s="19">
        <f t="shared" ref="AA40" si="228">ROUND(I40/R40,3)</f>
        <v>20.547999999999998</v>
      </c>
      <c r="AB40" s="20"/>
    </row>
    <row r="41" spans="1:28" ht="14.25" customHeight="1" x14ac:dyDescent="0.2">
      <c r="A41" s="20" t="s">
        <v>49</v>
      </c>
      <c r="B41" s="5">
        <f t="shared" si="215"/>
        <v>20.489812550937245</v>
      </c>
      <c r="C41" s="5">
        <f t="shared" si="216"/>
        <v>0.99266503667481654</v>
      </c>
      <c r="D41" s="4">
        <f t="shared" si="217"/>
        <v>24.54</v>
      </c>
      <c r="E41" s="13">
        <v>1.27</v>
      </c>
      <c r="F41" s="9">
        <v>12.24</v>
      </c>
      <c r="G41" s="9">
        <v>11.19</v>
      </c>
      <c r="H41" s="9">
        <v>1.1100000000000001</v>
      </c>
      <c r="I41" s="10">
        <v>12.92</v>
      </c>
      <c r="J41" s="20" t="s">
        <v>49</v>
      </c>
      <c r="K41" s="5">
        <f t="shared" ref="K41" si="229">M$2/M41</f>
        <v>42.131313131313128</v>
      </c>
      <c r="L41" s="5">
        <f t="shared" ref="L41" si="230">M40/M41</f>
        <v>1.0606060606060606</v>
      </c>
      <c r="M41" s="4">
        <f t="shared" ref="M41" si="231">SUM(O41:Q41)</f>
        <v>0.99</v>
      </c>
      <c r="N41" s="13">
        <v>0.14000000000000001</v>
      </c>
      <c r="O41" s="9">
        <v>0.61</v>
      </c>
      <c r="P41" s="9">
        <v>0.36</v>
      </c>
      <c r="Q41" s="9">
        <v>0.02</v>
      </c>
      <c r="R41" s="10">
        <v>0.56999999999999995</v>
      </c>
      <c r="S41" s="20" t="s">
        <v>49</v>
      </c>
      <c r="T41" s="5">
        <f t="shared" ref="T41" si="232">ROUND(B41/K41,3)</f>
        <v>0.48599999999999999</v>
      </c>
      <c r="U41" s="5">
        <f t="shared" ref="U41" si="233">ROUND(C41/L41,3)</f>
        <v>0.93600000000000005</v>
      </c>
      <c r="V41" s="4">
        <f t="shared" ref="V41" si="234">ROUND(D41/M41,3)</f>
        <v>24.788</v>
      </c>
      <c r="W41" s="13">
        <f t="shared" ref="W41" si="235">ROUND(E41/N41,3)</f>
        <v>9.0709999999999997</v>
      </c>
      <c r="X41" s="9">
        <f t="shared" ref="X41" si="236">ROUND(F41/O41,3)</f>
        <v>20.065999999999999</v>
      </c>
      <c r="Y41" s="9">
        <f t="shared" ref="Y41" si="237">ROUND(G41/P41,3)</f>
        <v>31.082999999999998</v>
      </c>
      <c r="Z41" s="9">
        <f t="shared" ref="Z41" si="238">ROUND(H41/Q41,3)</f>
        <v>55.5</v>
      </c>
      <c r="AA41" s="10">
        <f t="shared" ref="AA41" si="239">ROUND(I41/R41,3)</f>
        <v>22.667000000000002</v>
      </c>
    </row>
    <row r="42" spans="1:28" ht="14.25" customHeight="1" x14ac:dyDescent="0.2">
      <c r="A42" s="12" t="s">
        <v>50</v>
      </c>
      <c r="B42" s="5">
        <f t="shared" ref="B42" si="240">D$2/D42</f>
        <v>20.23420523138833</v>
      </c>
      <c r="C42" s="5">
        <f t="shared" ref="C42" si="241">D41/D42</f>
        <v>0.98752515090543269</v>
      </c>
      <c r="D42" s="4">
        <f t="shared" ref="D42" si="242">SUM(F42:H42)</f>
        <v>24.849999999999998</v>
      </c>
      <c r="E42" s="9">
        <v>1.28</v>
      </c>
      <c r="F42" s="13">
        <v>12.59</v>
      </c>
      <c r="G42" s="9">
        <v>11.17</v>
      </c>
      <c r="H42" s="9">
        <v>1.0900000000000001</v>
      </c>
      <c r="I42" s="10">
        <v>12.91</v>
      </c>
      <c r="J42" s="12" t="s">
        <v>50</v>
      </c>
      <c r="K42" s="5">
        <f t="shared" ref="K42" si="243">M$2/M42</f>
        <v>42.131313131313128</v>
      </c>
      <c r="L42" s="5">
        <f t="shared" ref="L42" si="244">M41/M42</f>
        <v>1</v>
      </c>
      <c r="M42" s="4">
        <f t="shared" ref="M42" si="245">SUM(O42:Q42)</f>
        <v>0.99</v>
      </c>
      <c r="N42" s="9">
        <v>0.13</v>
      </c>
      <c r="O42" s="13">
        <v>0.61</v>
      </c>
      <c r="P42" s="9">
        <v>0.36</v>
      </c>
      <c r="Q42" s="9">
        <v>0.02</v>
      </c>
      <c r="R42" s="10">
        <v>0.56999999999999995</v>
      </c>
      <c r="S42" s="12" t="s">
        <v>50</v>
      </c>
      <c r="T42" s="5">
        <f t="shared" ref="T42" si="246">ROUND(B42/K42,3)</f>
        <v>0.48</v>
      </c>
      <c r="U42" s="5">
        <f t="shared" ref="U42" si="247">ROUND(C42/L42,3)</f>
        <v>0.98799999999999999</v>
      </c>
      <c r="V42" s="4">
        <f t="shared" ref="V42" si="248">ROUND(D42/M42,3)</f>
        <v>25.100999999999999</v>
      </c>
      <c r="W42" s="9">
        <f t="shared" ref="W42" si="249">ROUND(E42/N42,3)</f>
        <v>9.8460000000000001</v>
      </c>
      <c r="X42" s="13">
        <f t="shared" ref="X42" si="250">ROUND(F42/O42,3)</f>
        <v>20.638999999999999</v>
      </c>
      <c r="Y42" s="9">
        <f t="shared" ref="Y42" si="251">ROUND(G42/P42,3)</f>
        <v>31.027999999999999</v>
      </c>
      <c r="Z42" s="9">
        <f t="shared" ref="Z42" si="252">ROUND(H42/Q42,3)</f>
        <v>54.5</v>
      </c>
      <c r="AA42" s="10">
        <f t="shared" ref="AA42" si="253">ROUND(I42/R42,3)</f>
        <v>22.649000000000001</v>
      </c>
    </row>
    <row r="43" spans="1:28" ht="14.25" customHeight="1" x14ac:dyDescent="0.2">
      <c r="A43" s="12" t="s">
        <v>51</v>
      </c>
      <c r="B43" s="5">
        <f t="shared" ref="B43" si="254">D$2/D43</f>
        <v>21.880765883376846</v>
      </c>
      <c r="C43" s="5">
        <f t="shared" ref="C43" si="255">D42/D43</f>
        <v>1.0813751087902523</v>
      </c>
      <c r="D43" s="4">
        <f t="shared" ref="D43" si="256">SUM(F43:H43)</f>
        <v>22.98</v>
      </c>
      <c r="E43" s="9">
        <v>1</v>
      </c>
      <c r="F43" s="13">
        <v>10.82</v>
      </c>
      <c r="G43" s="9">
        <v>11.09</v>
      </c>
      <c r="H43" s="9">
        <v>1.07</v>
      </c>
      <c r="I43" s="10">
        <v>12.7</v>
      </c>
      <c r="J43" s="12" t="s">
        <v>51</v>
      </c>
      <c r="K43" s="5">
        <f t="shared" ref="K43" si="257">M$2/M43</f>
        <v>42.999999999999993</v>
      </c>
      <c r="L43" s="5">
        <f t="shared" ref="L43" si="258">M42/M43</f>
        <v>1.0206185567010309</v>
      </c>
      <c r="M43" s="4">
        <f t="shared" ref="M43" si="259">SUM(O43:Q43)</f>
        <v>0.97</v>
      </c>
      <c r="N43" s="9">
        <v>0.09</v>
      </c>
      <c r="O43" s="13">
        <v>0.59</v>
      </c>
      <c r="P43" s="9">
        <v>0.36</v>
      </c>
      <c r="Q43" s="9">
        <v>0.02</v>
      </c>
      <c r="R43" s="10">
        <v>0.59</v>
      </c>
      <c r="S43" s="12" t="s">
        <v>51</v>
      </c>
      <c r="T43" s="5">
        <f t="shared" ref="T43" si="260">ROUND(B43/K43,3)</f>
        <v>0.50900000000000001</v>
      </c>
      <c r="U43" s="5">
        <f t="shared" ref="U43" si="261">ROUND(C43/L43,3)</f>
        <v>1.06</v>
      </c>
      <c r="V43" s="4">
        <f t="shared" ref="V43" si="262">ROUND(D43/M43,3)</f>
        <v>23.690999999999999</v>
      </c>
      <c r="W43" s="9">
        <f t="shared" ref="W43" si="263">ROUND(E43/N43,3)</f>
        <v>11.111000000000001</v>
      </c>
      <c r="X43" s="13">
        <f t="shared" ref="X43" si="264">ROUND(F43/O43,3)</f>
        <v>18.338999999999999</v>
      </c>
      <c r="Y43" s="9">
        <f t="shared" ref="Y43" si="265">ROUND(G43/P43,3)</f>
        <v>30.806000000000001</v>
      </c>
      <c r="Z43" s="9">
        <f t="shared" ref="Z43" si="266">ROUND(H43/Q43,3)</f>
        <v>53.5</v>
      </c>
      <c r="AA43" s="10">
        <f t="shared" ref="AA43" si="267">ROUND(I43/R43,3)</f>
        <v>21.524999999999999</v>
      </c>
    </row>
    <row r="44" spans="1:28" ht="14.25" customHeight="1" x14ac:dyDescent="0.2">
      <c r="A44" s="12" t="s">
        <v>52</v>
      </c>
      <c r="B44" s="5">
        <f t="shared" ref="B44" si="268">D$2/D44</f>
        <v>22.427297056199816</v>
      </c>
      <c r="C44" s="5">
        <f t="shared" ref="C44" si="269">D43/D44</f>
        <v>1.0249776984834968</v>
      </c>
      <c r="D44" s="4">
        <f t="shared" ref="D44" si="270">SUM(F44:H44)</f>
        <v>22.42</v>
      </c>
      <c r="E44" s="9">
        <v>0.8</v>
      </c>
      <c r="F44" s="9">
        <v>10.78</v>
      </c>
      <c r="G44" s="9">
        <v>11</v>
      </c>
      <c r="H44" s="13">
        <v>0.64</v>
      </c>
      <c r="I44" s="10">
        <v>12.71</v>
      </c>
      <c r="J44" s="12" t="s">
        <v>52</v>
      </c>
      <c r="K44" s="5">
        <f t="shared" ref="K44:K46" si="271">M$2/M44</f>
        <v>42.561224489795912</v>
      </c>
      <c r="L44" s="5">
        <f t="shared" ref="L44:L46" si="272">M43/M44</f>
        <v>0.98979591836734693</v>
      </c>
      <c r="M44" s="4">
        <f t="shared" ref="M44:M46" si="273">SUM(O44:Q44)</f>
        <v>0.98</v>
      </c>
      <c r="N44" s="9">
        <v>7.0000000000000007E-2</v>
      </c>
      <c r="O44" s="9">
        <v>0.59</v>
      </c>
      <c r="P44" s="9">
        <v>0.36</v>
      </c>
      <c r="Q44" s="13">
        <v>0.03</v>
      </c>
      <c r="R44" s="10">
        <v>0.57999999999999996</v>
      </c>
      <c r="S44" s="12" t="s">
        <v>52</v>
      </c>
      <c r="T44" s="5">
        <f t="shared" ref="T44" si="274">ROUND(B44/K44,3)</f>
        <v>0.52700000000000002</v>
      </c>
      <c r="U44" s="5">
        <f t="shared" ref="U44" si="275">ROUND(C44/L44,3)</f>
        <v>1.036</v>
      </c>
      <c r="V44" s="4">
        <f t="shared" ref="V44" si="276">ROUND(D44/M44,3)</f>
        <v>22.878</v>
      </c>
      <c r="W44" s="9">
        <f t="shared" ref="W44" si="277">ROUND(E44/N44,3)</f>
        <v>11.429</v>
      </c>
      <c r="X44" s="9">
        <f t="shared" ref="X44" si="278">ROUND(F44/O44,3)</f>
        <v>18.271000000000001</v>
      </c>
      <c r="Y44" s="9">
        <f t="shared" ref="Y44" si="279">ROUND(G44/P44,3)</f>
        <v>30.556000000000001</v>
      </c>
      <c r="Z44" s="13">
        <f t="shared" ref="Z44" si="280">ROUND(H44/Q44,3)</f>
        <v>21.332999999999998</v>
      </c>
      <c r="AA44" s="10">
        <f t="shared" ref="AA44" si="281">ROUND(I44/R44,3)</f>
        <v>21.914000000000001</v>
      </c>
    </row>
    <row r="45" spans="1:28" ht="14.25" customHeight="1" x14ac:dyDescent="0.2">
      <c r="A45" s="12" t="s">
        <v>53</v>
      </c>
      <c r="B45" s="2">
        <f t="shared" ref="B45" si="282">D$2/D45</f>
        <v>24.720747295968536</v>
      </c>
      <c r="C45" s="2">
        <f t="shared" ref="C45" si="283">D44/D45</f>
        <v>1.1022615535889875</v>
      </c>
      <c r="D45" s="6">
        <f t="shared" ref="D45" si="284">SUM(F45:H45)</f>
        <v>20.339999999999996</v>
      </c>
      <c r="E45" s="9">
        <v>0.79</v>
      </c>
      <c r="F45" s="13">
        <v>8.69</v>
      </c>
      <c r="G45" s="9">
        <v>11</v>
      </c>
      <c r="H45" s="9">
        <v>0.65</v>
      </c>
      <c r="I45" s="10">
        <v>12.58</v>
      </c>
      <c r="J45" s="12" t="s">
        <v>53</v>
      </c>
      <c r="K45" s="2">
        <f t="shared" si="271"/>
        <v>46.344444444444434</v>
      </c>
      <c r="L45" s="2">
        <f t="shared" si="272"/>
        <v>1.0888888888888888</v>
      </c>
      <c r="M45" s="6">
        <f t="shared" si="273"/>
        <v>0.9</v>
      </c>
      <c r="N45" s="9">
        <v>0.08</v>
      </c>
      <c r="O45" s="13">
        <v>0.51</v>
      </c>
      <c r="P45" s="9">
        <v>0.36</v>
      </c>
      <c r="Q45" s="9">
        <v>0.03</v>
      </c>
      <c r="R45" s="10">
        <v>0.57999999999999996</v>
      </c>
      <c r="S45" s="12" t="s">
        <v>53</v>
      </c>
      <c r="T45" s="2">
        <f t="shared" ref="T45" si="285">ROUND(B45/K45,3)</f>
        <v>0.53300000000000003</v>
      </c>
      <c r="U45" s="2">
        <f t="shared" ref="U45" si="286">ROUND(C45/L45,3)</f>
        <v>1.012</v>
      </c>
      <c r="V45" s="6">
        <f t="shared" ref="V45" si="287">ROUND(D45/M45,3)</f>
        <v>22.6</v>
      </c>
      <c r="W45" s="9">
        <f t="shared" ref="W45" si="288">ROUND(E45/N45,3)</f>
        <v>9.875</v>
      </c>
      <c r="X45" s="13">
        <f t="shared" ref="X45" si="289">ROUND(F45/O45,3)</f>
        <v>17.039000000000001</v>
      </c>
      <c r="Y45" s="9">
        <f t="shared" ref="Y45" si="290">ROUND(G45/P45,3)</f>
        <v>30.556000000000001</v>
      </c>
      <c r="Z45" s="9">
        <f t="shared" ref="Z45" si="291">ROUND(H45/Q45,3)</f>
        <v>21.667000000000002</v>
      </c>
      <c r="AA45" s="10">
        <f t="shared" ref="AA45" si="292">ROUND(I45/R45,3)</f>
        <v>21.69</v>
      </c>
    </row>
    <row r="46" spans="1:28" ht="14.25" customHeight="1" x14ac:dyDescent="0.2">
      <c r="A46" s="12" t="s">
        <v>54</v>
      </c>
      <c r="B46" s="5">
        <f t="shared" ref="B46" si="293">D$2/D46</f>
        <v>24.611845325501712</v>
      </c>
      <c r="C46" s="5">
        <f t="shared" ref="C46" si="294">D45/D46</f>
        <v>0.99559471365638752</v>
      </c>
      <c r="D46" s="4">
        <f t="shared" ref="D46" si="295">SUM(F46:H46)</f>
        <v>20.43</v>
      </c>
      <c r="E46" s="9">
        <v>0.81</v>
      </c>
      <c r="F46" s="9">
        <v>8.76</v>
      </c>
      <c r="G46" s="9">
        <v>11.03</v>
      </c>
      <c r="H46" s="9">
        <v>0.64</v>
      </c>
      <c r="I46" s="14">
        <v>9.73</v>
      </c>
      <c r="J46" s="12" t="s">
        <v>54</v>
      </c>
      <c r="K46" s="5">
        <f t="shared" si="271"/>
        <v>46.344444444444434</v>
      </c>
      <c r="L46" s="5">
        <f t="shared" si="272"/>
        <v>1</v>
      </c>
      <c r="M46" s="4">
        <f t="shared" si="273"/>
        <v>0.9</v>
      </c>
      <c r="N46" s="9">
        <v>0.09</v>
      </c>
      <c r="O46" s="9">
        <v>0.51</v>
      </c>
      <c r="P46" s="9">
        <v>0.36</v>
      </c>
      <c r="Q46" s="9">
        <v>0.03</v>
      </c>
      <c r="R46" s="14">
        <v>0.34</v>
      </c>
      <c r="S46" s="12" t="s">
        <v>54</v>
      </c>
      <c r="T46" s="5">
        <f t="shared" ref="T46" si="296">ROUND(B46/K46,3)</f>
        <v>0.53100000000000003</v>
      </c>
      <c r="U46" s="5">
        <f t="shared" ref="U46" si="297">ROUND(C46/L46,3)</f>
        <v>0.996</v>
      </c>
      <c r="V46" s="4">
        <f t="shared" ref="V46" si="298">ROUND(D46/M46,3)</f>
        <v>22.7</v>
      </c>
      <c r="W46" s="9">
        <f t="shared" ref="W46" si="299">ROUND(E46/N46,3)</f>
        <v>9</v>
      </c>
      <c r="X46" s="9">
        <f t="shared" ref="X46" si="300">ROUND(F46/O46,3)</f>
        <v>17.175999999999998</v>
      </c>
      <c r="Y46" s="9">
        <f t="shared" ref="Y46" si="301">ROUND(G46/P46,3)</f>
        <v>30.638999999999999</v>
      </c>
      <c r="Z46" s="9">
        <f t="shared" ref="Z46" si="302">ROUND(H46/Q46,3)</f>
        <v>21.332999999999998</v>
      </c>
      <c r="AA46" s="14">
        <f t="shared" ref="AA46" si="303">ROUND(I46/R46,3)</f>
        <v>28.617999999999999</v>
      </c>
    </row>
    <row r="47" spans="1:28" ht="14.25" customHeight="1" x14ac:dyDescent="0.2">
      <c r="A47" s="12" t="s">
        <v>55</v>
      </c>
      <c r="B47" s="5">
        <f t="shared" ref="B47" si="304">D$2/D47</f>
        <v>25.065802592223324</v>
      </c>
      <c r="C47" s="5">
        <f t="shared" ref="C47" si="305">D46/D47</f>
        <v>1.0184446660019939</v>
      </c>
      <c r="D47" s="4">
        <f t="shared" ref="D47" si="306">SUM(F47:H47)</f>
        <v>20.060000000000002</v>
      </c>
      <c r="E47" s="9">
        <v>0.78</v>
      </c>
      <c r="F47" s="9">
        <v>8.6999999999999993</v>
      </c>
      <c r="G47" s="13">
        <v>10.65</v>
      </c>
      <c r="H47" s="9">
        <v>0.71</v>
      </c>
      <c r="I47" s="14">
        <v>9.27</v>
      </c>
      <c r="J47" s="12" t="s">
        <v>55</v>
      </c>
      <c r="K47" s="5">
        <f t="shared" ref="K47" si="307">M$2/M47</f>
        <v>46.865168539325836</v>
      </c>
      <c r="L47" s="5">
        <f t="shared" ref="L47" si="308">M46/M47</f>
        <v>1.0112359550561798</v>
      </c>
      <c r="M47" s="4">
        <f t="shared" ref="M47" si="309">SUM(O47:Q47)</f>
        <v>0.89</v>
      </c>
      <c r="N47" s="9">
        <v>0.08</v>
      </c>
      <c r="O47" s="9">
        <v>0.5</v>
      </c>
      <c r="P47" s="13">
        <v>0.36</v>
      </c>
      <c r="Q47" s="9">
        <v>0.03</v>
      </c>
      <c r="R47" s="14">
        <v>0.33</v>
      </c>
      <c r="S47" s="12" t="s">
        <v>55</v>
      </c>
      <c r="T47" s="5">
        <f t="shared" ref="T47" si="310">ROUND(B47/K47,3)</f>
        <v>0.53500000000000003</v>
      </c>
      <c r="U47" s="5">
        <f t="shared" ref="U47" si="311">ROUND(C47/L47,3)</f>
        <v>1.0069999999999999</v>
      </c>
      <c r="V47" s="4">
        <f t="shared" ref="V47" si="312">ROUND(D47/M47,3)</f>
        <v>22.539000000000001</v>
      </c>
      <c r="W47" s="9">
        <f t="shared" ref="W47" si="313">ROUND(E47/N47,3)</f>
        <v>9.75</v>
      </c>
      <c r="X47" s="9">
        <f t="shared" ref="X47" si="314">ROUND(F47/O47,3)</f>
        <v>17.399999999999999</v>
      </c>
      <c r="Y47" s="13">
        <f t="shared" ref="Y47" si="315">ROUND(G47/P47,3)</f>
        <v>29.582999999999998</v>
      </c>
      <c r="Z47" s="9">
        <f t="shared" ref="Z47" si="316">ROUND(H47/Q47,3)</f>
        <v>23.667000000000002</v>
      </c>
      <c r="AA47" s="14">
        <f t="shared" ref="AA47" si="317">ROUND(I47/R47,3)</f>
        <v>28.091000000000001</v>
      </c>
    </row>
    <row r="48" spans="1:28" ht="14.25" customHeight="1" x14ac:dyDescent="0.2">
      <c r="A48" s="12" t="s">
        <v>56</v>
      </c>
      <c r="B48" s="2">
        <f t="shared" ref="B48" si="318">D$2/D48</f>
        <v>27.135456017269295</v>
      </c>
      <c r="C48" s="2">
        <f t="shared" ref="C48" si="319">D47/D48</f>
        <v>1.0825688073394497</v>
      </c>
      <c r="D48" s="6">
        <f t="shared" ref="D48" si="320">SUM(F48:H48)</f>
        <v>18.529999999999998</v>
      </c>
      <c r="E48" s="9">
        <v>0.79</v>
      </c>
      <c r="F48" s="18">
        <v>8.6</v>
      </c>
      <c r="G48" s="13">
        <v>9.2799999999999994</v>
      </c>
      <c r="H48" s="9">
        <v>0.65</v>
      </c>
      <c r="I48" s="14">
        <v>7</v>
      </c>
      <c r="J48" s="12" t="s">
        <v>56</v>
      </c>
      <c r="K48" s="2">
        <f t="shared" ref="K48" si="321">M$2/M48</f>
        <v>53.474358974358964</v>
      </c>
      <c r="L48" s="2">
        <f t="shared" ref="L48" si="322">M47/M48</f>
        <v>1.141025641025641</v>
      </c>
      <c r="M48" s="6">
        <f t="shared" ref="M48" si="323">SUM(O48:Q48)</f>
        <v>0.78</v>
      </c>
      <c r="N48" s="9">
        <v>0.08</v>
      </c>
      <c r="O48" s="18">
        <v>0.5</v>
      </c>
      <c r="P48" s="13">
        <v>0.25</v>
      </c>
      <c r="Q48" s="9">
        <v>0.03</v>
      </c>
      <c r="R48" s="14">
        <v>0.25</v>
      </c>
      <c r="S48" s="12" t="s">
        <v>56</v>
      </c>
      <c r="T48" s="2">
        <f t="shared" ref="T48" si="324">ROUND(B48/K48,3)</f>
        <v>0.50700000000000001</v>
      </c>
      <c r="U48" s="2">
        <f t="shared" ref="U48" si="325">ROUND(C48/L48,3)</f>
        <v>0.94899999999999995</v>
      </c>
      <c r="V48" s="6">
        <f t="shared" ref="V48" si="326">ROUND(D48/M48,3)</f>
        <v>23.756</v>
      </c>
      <c r="W48" s="9">
        <f t="shared" ref="W48" si="327">ROUND(E48/N48,3)</f>
        <v>9.875</v>
      </c>
      <c r="X48" s="18">
        <f t="shared" ref="X48" si="328">ROUND(F48/O48,3)</f>
        <v>17.2</v>
      </c>
      <c r="Y48" s="13">
        <f t="shared" ref="Y48" si="329">ROUND(G48/P48,3)</f>
        <v>37.119999999999997</v>
      </c>
      <c r="Z48" s="9">
        <f t="shared" ref="Z48" si="330">ROUND(H48/Q48,3)</f>
        <v>21.667000000000002</v>
      </c>
      <c r="AA48" s="14">
        <f t="shared" ref="AA48" si="331">ROUND(I48/R48,3)</f>
        <v>28</v>
      </c>
    </row>
    <row r="49" spans="1:28" ht="14.25" customHeight="1" x14ac:dyDescent="0.2">
      <c r="A49" s="12" t="s">
        <v>57</v>
      </c>
      <c r="B49" s="5">
        <f t="shared" ref="B49" si="332">D$2/D49</f>
        <v>27.446506550218338</v>
      </c>
      <c r="C49" s="5">
        <f t="shared" ref="C49" si="333">D48/D49</f>
        <v>1.0114628820960698</v>
      </c>
      <c r="D49" s="4">
        <f t="shared" ref="D49" si="334">SUM(F49:H49)</f>
        <v>18.32</v>
      </c>
      <c r="E49" s="13">
        <v>0.62</v>
      </c>
      <c r="F49" s="9">
        <v>8.6</v>
      </c>
      <c r="G49" s="9">
        <v>9.06</v>
      </c>
      <c r="H49" s="9">
        <v>0.66</v>
      </c>
      <c r="I49" s="14">
        <v>7</v>
      </c>
      <c r="J49" s="12" t="s">
        <v>57</v>
      </c>
      <c r="K49" s="5">
        <f t="shared" ref="K49" si="335">M$2/M49</f>
        <v>54.168831168831161</v>
      </c>
      <c r="L49" s="5">
        <f t="shared" ref="L49" si="336">M48/M49</f>
        <v>1.0129870129870131</v>
      </c>
      <c r="M49" s="4">
        <f t="shared" ref="M49" si="337">SUM(O49:Q49)</f>
        <v>0.77</v>
      </c>
      <c r="N49" s="13">
        <v>0.08</v>
      </c>
      <c r="O49" s="9">
        <v>0.5</v>
      </c>
      <c r="P49" s="9">
        <v>0.24</v>
      </c>
      <c r="Q49" s="9">
        <v>0.03</v>
      </c>
      <c r="R49" s="14">
        <v>0.24</v>
      </c>
      <c r="S49" s="12" t="s">
        <v>57</v>
      </c>
      <c r="T49" s="5">
        <f t="shared" ref="T49" si="338">ROUND(B49/K49,3)</f>
        <v>0.50700000000000001</v>
      </c>
      <c r="U49" s="5">
        <f t="shared" ref="U49" si="339">ROUND(C49/L49,3)</f>
        <v>0.998</v>
      </c>
      <c r="V49" s="4">
        <f t="shared" ref="V49" si="340">ROUND(D49/M49,3)</f>
        <v>23.792000000000002</v>
      </c>
      <c r="W49" s="13">
        <f t="shared" ref="W49" si="341">ROUND(E49/N49,3)</f>
        <v>7.75</v>
      </c>
      <c r="X49" s="9">
        <f t="shared" ref="X49" si="342">ROUND(F49/O49,3)</f>
        <v>17.2</v>
      </c>
      <c r="Y49" s="9">
        <f t="shared" ref="Y49" si="343">ROUND(G49/P49,3)</f>
        <v>37.75</v>
      </c>
      <c r="Z49" s="9">
        <f t="shared" ref="Z49" si="344">ROUND(H49/Q49,3)</f>
        <v>22</v>
      </c>
      <c r="AA49" s="14">
        <f t="shared" ref="AA49" si="345">ROUND(I49/R49,3)</f>
        <v>29.167000000000002</v>
      </c>
    </row>
    <row r="50" spans="1:28" ht="14.25" customHeight="1" x14ac:dyDescent="0.2">
      <c r="A50" s="12" t="s">
        <v>58</v>
      </c>
      <c r="B50" s="2">
        <f t="shared" ref="B50" si="346">D$2/D50</f>
        <v>28.765446224256287</v>
      </c>
      <c r="C50" s="2">
        <f t="shared" ref="C50" si="347">D49/D50</f>
        <v>1.0480549199084668</v>
      </c>
      <c r="D50" s="6">
        <f t="shared" ref="D50" si="348">SUM(F50:H50)</f>
        <v>17.48</v>
      </c>
      <c r="E50" s="9">
        <v>0.64</v>
      </c>
      <c r="F50" s="13">
        <v>7.76</v>
      </c>
      <c r="G50" s="9">
        <v>9.08</v>
      </c>
      <c r="H50" s="9">
        <v>0.64</v>
      </c>
      <c r="I50" s="10">
        <v>6.95</v>
      </c>
      <c r="J50" s="12" t="s">
        <v>58</v>
      </c>
      <c r="K50" s="2">
        <f t="shared" ref="K50" si="349">M$2/M50</f>
        <v>56.364864864864856</v>
      </c>
      <c r="L50" s="2">
        <f t="shared" ref="L50" si="350">M49/M50</f>
        <v>1.0405405405405406</v>
      </c>
      <c r="M50" s="6">
        <f t="shared" ref="M50" si="351">SUM(O50:Q50)</f>
        <v>0.74</v>
      </c>
      <c r="N50" s="9">
        <v>7.0000000000000007E-2</v>
      </c>
      <c r="O50" s="13">
        <v>0.47</v>
      </c>
      <c r="P50" s="9">
        <v>0.24</v>
      </c>
      <c r="Q50" s="9">
        <v>0.03</v>
      </c>
      <c r="R50" s="10">
        <v>0.24</v>
      </c>
      <c r="S50" s="12" t="s">
        <v>58</v>
      </c>
      <c r="T50" s="2">
        <f t="shared" ref="T50" si="352">ROUND(B50/K50,3)</f>
        <v>0.51</v>
      </c>
      <c r="U50" s="2">
        <f t="shared" ref="U50" si="353">ROUND(C50/L50,3)</f>
        <v>1.0069999999999999</v>
      </c>
      <c r="V50" s="6">
        <f t="shared" ref="V50" si="354">ROUND(D50/M50,3)</f>
        <v>23.622</v>
      </c>
      <c r="W50" s="9">
        <f t="shared" ref="W50" si="355">ROUND(E50/N50,3)</f>
        <v>9.1430000000000007</v>
      </c>
      <c r="X50" s="13">
        <f t="shared" ref="X50" si="356">ROUND(F50/O50,3)</f>
        <v>16.510999999999999</v>
      </c>
      <c r="Y50" s="9">
        <f t="shared" ref="Y50" si="357">ROUND(G50/P50,3)</f>
        <v>37.832999999999998</v>
      </c>
      <c r="Z50" s="9">
        <f t="shared" ref="Z50" si="358">ROUND(H50/Q50,3)</f>
        <v>21.332999999999998</v>
      </c>
      <c r="AA50" s="10">
        <f t="shared" ref="AA50" si="359">ROUND(I50/R50,3)</f>
        <v>28.957999999999998</v>
      </c>
    </row>
    <row r="51" spans="1:28" ht="14.25" customHeight="1" x14ac:dyDescent="0.2">
      <c r="A51" s="12" t="s">
        <v>59</v>
      </c>
      <c r="B51" s="2">
        <f t="shared" ref="B51" si="360">D$2/D51</f>
        <v>32.608300907911797</v>
      </c>
      <c r="C51" s="2">
        <f t="shared" ref="C51" si="361">D50/D51</f>
        <v>1.1335927367055771</v>
      </c>
      <c r="D51" s="6">
        <f t="shared" ref="D51" si="362">SUM(F51:H51)</f>
        <v>15.42</v>
      </c>
      <c r="E51" s="9">
        <v>0.66</v>
      </c>
      <c r="F51" s="9">
        <v>7.76</v>
      </c>
      <c r="G51" s="13">
        <v>7.01</v>
      </c>
      <c r="H51" s="9">
        <v>0.65</v>
      </c>
      <c r="I51" s="14">
        <v>4.96</v>
      </c>
      <c r="J51" s="12" t="s">
        <v>59</v>
      </c>
      <c r="K51" s="2">
        <f t="shared" ref="K51:K53" si="363">M$2/M51</f>
        <v>62.253731343283569</v>
      </c>
      <c r="L51" s="2">
        <f t="shared" ref="L51:L53" si="364">M50/M51</f>
        <v>1.1044776119402984</v>
      </c>
      <c r="M51" s="6">
        <f t="shared" ref="M51:M53" si="365">SUM(O51:Q51)</f>
        <v>0.67</v>
      </c>
      <c r="N51" s="9">
        <v>7.0000000000000007E-2</v>
      </c>
      <c r="O51" s="9">
        <v>0.47</v>
      </c>
      <c r="P51" s="13">
        <v>0.17</v>
      </c>
      <c r="Q51" s="9">
        <v>0.03</v>
      </c>
      <c r="R51" s="14">
        <v>0.18</v>
      </c>
      <c r="S51" s="12" t="s">
        <v>59</v>
      </c>
      <c r="T51" s="2">
        <f t="shared" ref="T51" si="366">ROUND(B51/K51,3)</f>
        <v>0.52400000000000002</v>
      </c>
      <c r="U51" s="2">
        <f t="shared" ref="U51" si="367">ROUND(C51/L51,3)</f>
        <v>1.026</v>
      </c>
      <c r="V51" s="6">
        <f t="shared" ref="V51" si="368">ROUND(D51/M51,3)</f>
        <v>23.015000000000001</v>
      </c>
      <c r="W51" s="9">
        <f t="shared" ref="W51" si="369">ROUND(E51/N51,3)</f>
        <v>9.4290000000000003</v>
      </c>
      <c r="X51" s="9">
        <f t="shared" ref="X51" si="370">ROUND(F51/O51,3)</f>
        <v>16.510999999999999</v>
      </c>
      <c r="Y51" s="13">
        <f t="shared" ref="Y51" si="371">ROUND(G51/P51,3)</f>
        <v>41.234999999999999</v>
      </c>
      <c r="Z51" s="9">
        <f t="shared" ref="Z51" si="372">ROUND(H51/Q51,3)</f>
        <v>21.667000000000002</v>
      </c>
      <c r="AA51" s="14">
        <f t="shared" ref="AA51" si="373">ROUND(I51/R51,3)</f>
        <v>27.556000000000001</v>
      </c>
    </row>
    <row r="52" spans="1:28" ht="14.25" customHeight="1" x14ac:dyDescent="0.2">
      <c r="A52" s="12" t="s">
        <v>60</v>
      </c>
      <c r="B52" s="5">
        <f t="shared" ref="B52:B53" si="374">D$2/D52</f>
        <v>32.356499356499349</v>
      </c>
      <c r="C52" s="5">
        <f t="shared" ref="C52:C53" si="375">D51/D52</f>
        <v>0.99227799227799218</v>
      </c>
      <c r="D52" s="4">
        <f t="shared" ref="D52:D53" si="376">SUM(F52:H52)</f>
        <v>15.540000000000001</v>
      </c>
      <c r="E52" s="9">
        <v>0.63</v>
      </c>
      <c r="F52" s="9">
        <v>7.82</v>
      </c>
      <c r="G52" s="9">
        <v>7.03</v>
      </c>
      <c r="H52" s="9">
        <v>0.69</v>
      </c>
      <c r="I52" s="14">
        <v>4.97</v>
      </c>
      <c r="J52" s="12" t="s">
        <v>60</v>
      </c>
      <c r="K52" s="5">
        <f t="shared" si="363"/>
        <v>62.253731343283569</v>
      </c>
      <c r="L52" s="5">
        <f t="shared" si="364"/>
        <v>1</v>
      </c>
      <c r="M52" s="4">
        <f t="shared" si="365"/>
        <v>0.67</v>
      </c>
      <c r="N52" s="9">
        <v>7.0000000000000007E-2</v>
      </c>
      <c r="O52" s="9">
        <v>0.47</v>
      </c>
      <c r="P52" s="9">
        <v>0.17</v>
      </c>
      <c r="Q52" s="9">
        <v>0.03</v>
      </c>
      <c r="R52" s="14">
        <v>0.18</v>
      </c>
      <c r="S52" s="12" t="s">
        <v>60</v>
      </c>
      <c r="T52" s="5">
        <f t="shared" ref="T52:T53" si="377">ROUND(B52/K52,3)</f>
        <v>0.52</v>
      </c>
      <c r="U52" s="5">
        <f t="shared" ref="U52:U53" si="378">ROUND(C52/L52,3)</f>
        <v>0.99199999999999999</v>
      </c>
      <c r="V52" s="4">
        <f t="shared" ref="V52:V53" si="379">ROUND(D52/M52,3)</f>
        <v>23.193999999999999</v>
      </c>
      <c r="W52" s="9">
        <f t="shared" ref="W52:W53" si="380">ROUND(E52/N52,3)</f>
        <v>9</v>
      </c>
      <c r="X52" s="9">
        <f t="shared" ref="X52:X53" si="381">ROUND(F52/O52,3)</f>
        <v>16.638000000000002</v>
      </c>
      <c r="Y52" s="9">
        <f t="shared" ref="Y52:Y53" si="382">ROUND(G52/P52,3)</f>
        <v>41.353000000000002</v>
      </c>
      <c r="Z52" s="9">
        <f t="shared" ref="Z52:Z53" si="383">ROUND(H52/Q52,3)</f>
        <v>23</v>
      </c>
      <c r="AA52" s="14">
        <f t="shared" ref="AA52:AA53" si="384">ROUND(I52/R52,3)</f>
        <v>27.611000000000001</v>
      </c>
    </row>
    <row r="53" spans="1:28" ht="14.25" customHeight="1" x14ac:dyDescent="0.2">
      <c r="A53" s="12" t="s">
        <v>61</v>
      </c>
      <c r="B53" s="5">
        <f t="shared" si="374"/>
        <v>33.233311302048904</v>
      </c>
      <c r="C53" s="5">
        <f t="shared" si="375"/>
        <v>1.0270984798413747</v>
      </c>
      <c r="D53" s="4">
        <f t="shared" si="376"/>
        <v>15.13</v>
      </c>
      <c r="E53" s="9">
        <v>0.67</v>
      </c>
      <c r="F53" s="9">
        <v>7.78</v>
      </c>
      <c r="G53" s="13">
        <v>6.68</v>
      </c>
      <c r="H53" s="9">
        <v>0.67</v>
      </c>
      <c r="I53" s="14">
        <v>4.91</v>
      </c>
      <c r="J53" s="12" t="s">
        <v>61</v>
      </c>
      <c r="K53" s="5">
        <f t="shared" si="363"/>
        <v>64.169230769230751</v>
      </c>
      <c r="L53" s="5">
        <f t="shared" si="364"/>
        <v>1.0307692307692309</v>
      </c>
      <c r="M53" s="4">
        <f t="shared" si="365"/>
        <v>0.65</v>
      </c>
      <c r="N53" s="9">
        <v>7.0000000000000007E-2</v>
      </c>
      <c r="O53" s="9">
        <v>0.47</v>
      </c>
      <c r="P53" s="13">
        <v>0.15</v>
      </c>
      <c r="Q53" s="9">
        <v>0.03</v>
      </c>
      <c r="R53" s="14">
        <v>0.16</v>
      </c>
      <c r="S53" s="12" t="s">
        <v>61</v>
      </c>
      <c r="T53" s="5">
        <f t="shared" si="377"/>
        <v>0.51800000000000002</v>
      </c>
      <c r="U53" s="5">
        <f t="shared" si="378"/>
        <v>0.996</v>
      </c>
      <c r="V53" s="4">
        <f t="shared" si="379"/>
        <v>23.277000000000001</v>
      </c>
      <c r="W53" s="9">
        <f t="shared" si="380"/>
        <v>9.5709999999999997</v>
      </c>
      <c r="X53" s="9">
        <f t="shared" si="381"/>
        <v>16.553000000000001</v>
      </c>
      <c r="Y53" s="13">
        <f t="shared" si="382"/>
        <v>44.533000000000001</v>
      </c>
      <c r="Z53" s="9">
        <f t="shared" si="383"/>
        <v>22.332999999999998</v>
      </c>
      <c r="AA53" s="14">
        <f t="shared" si="384"/>
        <v>30.687999999999999</v>
      </c>
    </row>
    <row r="54" spans="1:28" ht="14.25" customHeight="1" x14ac:dyDescent="0.2">
      <c r="A54" s="12" t="s">
        <v>62</v>
      </c>
      <c r="B54" s="5">
        <f t="shared" ref="B54" si="385">D$2/D54</f>
        <v>33.476697736351525</v>
      </c>
      <c r="C54" s="5">
        <f t="shared" ref="C54" si="386">D53/D54</f>
        <v>1.0073235685752331</v>
      </c>
      <c r="D54" s="4">
        <f t="shared" ref="D54" si="387">SUM(F54:H54)</f>
        <v>15.020000000000001</v>
      </c>
      <c r="E54" s="13">
        <v>0.41</v>
      </c>
      <c r="F54" s="9">
        <v>7.57</v>
      </c>
      <c r="G54" s="9">
        <v>6.8</v>
      </c>
      <c r="H54" s="9">
        <v>0.65</v>
      </c>
      <c r="I54" s="10">
        <v>4.75</v>
      </c>
      <c r="J54" s="12" t="s">
        <v>62</v>
      </c>
      <c r="K54" s="5">
        <f t="shared" ref="K54" si="388">M$2/M54</f>
        <v>63.196969696969681</v>
      </c>
      <c r="L54" s="5">
        <f t="shared" ref="L54" si="389">M53/M54</f>
        <v>0.98484848484848486</v>
      </c>
      <c r="M54" s="4">
        <f t="shared" ref="M54" si="390">SUM(O54:Q54)</f>
        <v>0.66</v>
      </c>
      <c r="N54" s="13">
        <v>0.06</v>
      </c>
      <c r="O54" s="9">
        <v>0.48</v>
      </c>
      <c r="P54" s="9">
        <v>0.15</v>
      </c>
      <c r="Q54" s="9">
        <v>0.03</v>
      </c>
      <c r="R54" s="10">
        <v>0.15</v>
      </c>
      <c r="S54" s="12" t="s">
        <v>62</v>
      </c>
      <c r="T54" s="5">
        <f t="shared" ref="T54" si="391">ROUND(B54/K54,3)</f>
        <v>0.53</v>
      </c>
      <c r="U54" s="5">
        <f t="shared" ref="U54" si="392">ROUND(C54/L54,3)</f>
        <v>1.0229999999999999</v>
      </c>
      <c r="V54" s="4">
        <f t="shared" ref="V54" si="393">ROUND(D54/M54,3)</f>
        <v>22.757999999999999</v>
      </c>
      <c r="W54" s="13">
        <f t="shared" ref="W54" si="394">ROUND(E54/N54,3)</f>
        <v>6.8330000000000002</v>
      </c>
      <c r="X54" s="9">
        <f t="shared" ref="X54" si="395">ROUND(F54/O54,3)</f>
        <v>15.771000000000001</v>
      </c>
      <c r="Y54" s="9">
        <f t="shared" ref="Y54" si="396">ROUND(G54/P54,3)</f>
        <v>45.332999999999998</v>
      </c>
      <c r="Z54" s="9">
        <f t="shared" ref="Z54" si="397">ROUND(H54/Q54,3)</f>
        <v>21.667000000000002</v>
      </c>
      <c r="AA54" s="10">
        <f t="shared" ref="AA54" si="398">ROUND(I54/R54,3)</f>
        <v>31.667000000000002</v>
      </c>
    </row>
    <row r="55" spans="1:28" ht="14.25" customHeight="1" x14ac:dyDescent="0.2">
      <c r="A55" s="12" t="s">
        <v>63</v>
      </c>
      <c r="B55" s="2">
        <f t="shared" ref="B55:B56" si="399">D$2/D55</f>
        <v>46.172635445362708</v>
      </c>
      <c r="C55" s="2">
        <f t="shared" ref="C55:C56" si="400">D54/D55</f>
        <v>1.379247015610652</v>
      </c>
      <c r="D55" s="6">
        <f t="shared" ref="D55:D56" si="401">SUM(F55:H55)</f>
        <v>10.89</v>
      </c>
      <c r="E55" s="9">
        <v>0.4</v>
      </c>
      <c r="F55" s="9">
        <v>7.31</v>
      </c>
      <c r="G55" s="13">
        <v>3.33</v>
      </c>
      <c r="H55" s="13">
        <v>0.25</v>
      </c>
      <c r="I55" s="14">
        <v>2.76</v>
      </c>
      <c r="J55" s="12" t="s">
        <v>63</v>
      </c>
      <c r="K55" s="2">
        <f t="shared" ref="K55:K56" si="402">M$2/M55</f>
        <v>64.169230769230751</v>
      </c>
      <c r="L55" s="2">
        <f t="shared" ref="L55:L56" si="403">M54/M55</f>
        <v>1.0153846153846153</v>
      </c>
      <c r="M55" s="6">
        <f t="shared" ref="M55:M56" si="404">SUM(O55:Q55)</f>
        <v>0.65</v>
      </c>
      <c r="N55" s="9">
        <v>7.0000000000000007E-2</v>
      </c>
      <c r="O55" s="9">
        <v>0.47</v>
      </c>
      <c r="P55" s="13">
        <v>0.15</v>
      </c>
      <c r="Q55" s="13">
        <v>0.03</v>
      </c>
      <c r="R55" s="14">
        <v>0.15</v>
      </c>
      <c r="S55" s="12" t="s">
        <v>63</v>
      </c>
      <c r="T55" s="2">
        <f t="shared" ref="T55" si="405">ROUND(B55/K55,3)</f>
        <v>0.72</v>
      </c>
      <c r="U55" s="2">
        <f t="shared" ref="U55" si="406">ROUND(C55/L55,3)</f>
        <v>1.3580000000000001</v>
      </c>
      <c r="V55" s="6">
        <f t="shared" ref="V55" si="407">ROUND(D55/M55,3)</f>
        <v>16.754000000000001</v>
      </c>
      <c r="W55" s="9">
        <f t="shared" ref="W55" si="408">ROUND(E55/N55,3)</f>
        <v>5.7140000000000004</v>
      </c>
      <c r="X55" s="9">
        <f t="shared" ref="X55" si="409">ROUND(F55/O55,3)</f>
        <v>15.553000000000001</v>
      </c>
      <c r="Y55" s="13">
        <f t="shared" ref="Y55" si="410">ROUND(G55/P55,3)</f>
        <v>22.2</v>
      </c>
      <c r="Z55" s="13">
        <f t="shared" ref="Z55" si="411">ROUND(H55/Q55,3)</f>
        <v>8.3330000000000002</v>
      </c>
      <c r="AA55" s="14">
        <f t="shared" ref="AA55" si="412">ROUND(I55/R55,3)</f>
        <v>18.399999999999999</v>
      </c>
    </row>
    <row r="56" spans="1:28" s="18" customFormat="1" ht="14.25" customHeight="1" x14ac:dyDescent="0.2">
      <c r="A56" s="20" t="s">
        <v>64</v>
      </c>
      <c r="B56" s="5">
        <f t="shared" si="399"/>
        <v>46.385608856088552</v>
      </c>
      <c r="C56" s="5">
        <f t="shared" si="400"/>
        <v>1.0046125461254614</v>
      </c>
      <c r="D56" s="4">
        <f t="shared" si="401"/>
        <v>10.84</v>
      </c>
      <c r="E56" s="13">
        <v>0.4</v>
      </c>
      <c r="F56" s="18">
        <v>7.27</v>
      </c>
      <c r="G56" s="18">
        <v>3.33</v>
      </c>
      <c r="H56" s="13">
        <v>0.24</v>
      </c>
      <c r="I56" s="19">
        <v>2.76</v>
      </c>
      <c r="J56" s="20" t="s">
        <v>64</v>
      </c>
      <c r="K56" s="5">
        <f t="shared" si="402"/>
        <v>64.169230769230751</v>
      </c>
      <c r="L56" s="5">
        <f t="shared" si="403"/>
        <v>1</v>
      </c>
      <c r="M56" s="4">
        <f t="shared" si="404"/>
        <v>0.65</v>
      </c>
      <c r="N56" s="13">
        <v>0.06</v>
      </c>
      <c r="O56" s="18">
        <v>0.48</v>
      </c>
      <c r="P56" s="18">
        <v>0.15</v>
      </c>
      <c r="Q56" s="13">
        <v>0.02</v>
      </c>
      <c r="R56" s="19">
        <v>0.15</v>
      </c>
      <c r="S56" s="20" t="s">
        <v>64</v>
      </c>
      <c r="T56" s="5">
        <f t="shared" ref="T56" si="413">ROUND(B56/K56,3)</f>
        <v>0.72299999999999998</v>
      </c>
      <c r="U56" s="5">
        <f t="shared" ref="U56" si="414">ROUND(C56/L56,3)</f>
        <v>1.0049999999999999</v>
      </c>
      <c r="V56" s="4">
        <f t="shared" ref="V56" si="415">ROUND(D56/M56,3)</f>
        <v>16.677</v>
      </c>
      <c r="W56" s="13">
        <f t="shared" ref="W56" si="416">ROUND(E56/N56,3)</f>
        <v>6.6669999999999998</v>
      </c>
      <c r="X56" s="18">
        <f t="shared" ref="X56" si="417">ROUND(F56/O56,3)</f>
        <v>15.146000000000001</v>
      </c>
      <c r="Y56" s="18">
        <f t="shared" ref="Y56" si="418">ROUND(G56/P56,3)</f>
        <v>22.2</v>
      </c>
      <c r="Z56" s="13">
        <f t="shared" ref="Z56" si="419">ROUND(H56/Q56,3)</f>
        <v>12</v>
      </c>
      <c r="AA56" s="19">
        <f t="shared" ref="AA56" si="420">ROUND(I56/R56,3)</f>
        <v>18.399999999999999</v>
      </c>
      <c r="AB56" s="20"/>
    </row>
    <row r="57" spans="1:28" ht="14.25" customHeight="1" x14ac:dyDescent="0.2">
      <c r="A57" s="12" t="s">
        <v>65</v>
      </c>
      <c r="B57" s="2">
        <f t="shared" ref="B57:B58" si="421">D$2/D57</f>
        <v>49.882936507936499</v>
      </c>
      <c r="C57" s="2">
        <f t="shared" ref="C57:C58" si="422">D56/D57</f>
        <v>1.0753968253968254</v>
      </c>
      <c r="D57" s="6">
        <f t="shared" ref="D57:D58" si="423">SUM(F57:H57)</f>
        <v>10.08</v>
      </c>
      <c r="E57" s="9">
        <v>0.4</v>
      </c>
      <c r="F57" s="13">
        <v>6.64</v>
      </c>
      <c r="G57" s="13">
        <v>3.19</v>
      </c>
      <c r="H57" s="13">
        <v>0.25</v>
      </c>
      <c r="I57" s="14">
        <v>2.62</v>
      </c>
      <c r="J57" s="12" t="s">
        <v>65</v>
      </c>
      <c r="K57" s="2">
        <f t="shared" ref="K57:K58" si="424">M$2/M57</f>
        <v>65.171874999999986</v>
      </c>
      <c r="L57" s="2">
        <f t="shared" ref="L57:L58" si="425">M56/M57</f>
        <v>1.015625</v>
      </c>
      <c r="M57" s="6">
        <f t="shared" ref="M57:M58" si="426">SUM(O57:Q57)</f>
        <v>0.64</v>
      </c>
      <c r="N57" s="9">
        <v>0.06</v>
      </c>
      <c r="O57" s="13">
        <v>0.47</v>
      </c>
      <c r="P57" s="13">
        <v>0.15</v>
      </c>
      <c r="Q57" s="13">
        <v>0.02</v>
      </c>
      <c r="R57" s="14">
        <v>0.14000000000000001</v>
      </c>
      <c r="S57" s="12" t="s">
        <v>65</v>
      </c>
      <c r="T57" s="2">
        <f t="shared" ref="T57:T58" si="427">ROUND(B57/K57,3)</f>
        <v>0.76500000000000001</v>
      </c>
      <c r="U57" s="2">
        <f t="shared" ref="U57:U58" si="428">ROUND(C57/L57,3)</f>
        <v>1.0589999999999999</v>
      </c>
      <c r="V57" s="6">
        <f t="shared" ref="V57:V58" si="429">ROUND(D57/M57,3)</f>
        <v>15.75</v>
      </c>
      <c r="W57" s="9">
        <f t="shared" ref="W57:W58" si="430">ROUND(E57/N57,3)</f>
        <v>6.6669999999999998</v>
      </c>
      <c r="X57" s="13">
        <f t="shared" ref="X57:X58" si="431">ROUND(F57/O57,3)</f>
        <v>14.128</v>
      </c>
      <c r="Y57" s="13">
        <f t="shared" ref="Y57:Y58" si="432">ROUND(G57/P57,3)</f>
        <v>21.266999999999999</v>
      </c>
      <c r="Z57" s="13">
        <f t="shared" ref="Z57:Z58" si="433">ROUND(H57/Q57,3)</f>
        <v>12.5</v>
      </c>
      <c r="AA57" s="14">
        <f t="shared" ref="AA57:AA58" si="434">ROUND(I57/R57,3)</f>
        <v>18.713999999999999</v>
      </c>
    </row>
    <row r="58" spans="1:28" ht="14.25" customHeight="1" x14ac:dyDescent="0.2">
      <c r="A58" s="12" t="s">
        <v>66</v>
      </c>
      <c r="B58" s="2">
        <f t="shared" si="421"/>
        <v>50.687499999999993</v>
      </c>
      <c r="C58" s="2">
        <f t="shared" si="422"/>
        <v>1.0161290322580645</v>
      </c>
      <c r="D58" s="6">
        <f t="shared" si="423"/>
        <v>9.92</v>
      </c>
      <c r="E58" s="9">
        <v>0.39</v>
      </c>
      <c r="F58" s="13">
        <v>6.59</v>
      </c>
      <c r="G58" s="13">
        <v>3.07</v>
      </c>
      <c r="H58" s="9">
        <v>0.26</v>
      </c>
      <c r="I58" s="14">
        <v>2.5</v>
      </c>
      <c r="J58" s="12" t="s">
        <v>66</v>
      </c>
      <c r="K58" s="2">
        <f t="shared" si="424"/>
        <v>65.171874999999986</v>
      </c>
      <c r="L58" s="2">
        <f t="shared" si="425"/>
        <v>1</v>
      </c>
      <c r="M58" s="6">
        <f t="shared" si="426"/>
        <v>0.64</v>
      </c>
      <c r="N58" s="9">
        <v>0.1</v>
      </c>
      <c r="O58" s="13">
        <v>0.47</v>
      </c>
      <c r="P58" s="13">
        <v>0.15</v>
      </c>
      <c r="Q58" s="9">
        <v>0.02</v>
      </c>
      <c r="R58" s="14">
        <v>0.14000000000000001</v>
      </c>
      <c r="S58" s="12" t="s">
        <v>66</v>
      </c>
      <c r="T58" s="2">
        <f t="shared" si="427"/>
        <v>0.77800000000000002</v>
      </c>
      <c r="U58" s="2">
        <f t="shared" si="428"/>
        <v>1.016</v>
      </c>
      <c r="V58" s="6">
        <f t="shared" si="429"/>
        <v>15.5</v>
      </c>
      <c r="W58" s="9">
        <f t="shared" si="430"/>
        <v>3.9</v>
      </c>
      <c r="X58" s="13">
        <f t="shared" si="431"/>
        <v>14.021000000000001</v>
      </c>
      <c r="Y58" s="13">
        <f t="shared" si="432"/>
        <v>20.466999999999999</v>
      </c>
      <c r="Z58" s="9">
        <f t="shared" si="433"/>
        <v>13</v>
      </c>
      <c r="AA58" s="14">
        <f t="shared" si="434"/>
        <v>17.856999999999999</v>
      </c>
    </row>
    <row r="59" spans="1:28" ht="14.25" customHeight="1" x14ac:dyDescent="0.2">
      <c r="A59" s="12" t="s">
        <v>67</v>
      </c>
      <c r="B59" s="2">
        <f t="shared" ref="B59" si="435">D$2/D59</f>
        <v>56.118303571428562</v>
      </c>
      <c r="C59" s="2">
        <f t="shared" ref="C59" si="436">D58/D59</f>
        <v>1.107142857142857</v>
      </c>
      <c r="D59" s="6">
        <f t="shared" ref="D59" si="437">SUM(F59:H59)</f>
        <v>8.9600000000000009</v>
      </c>
      <c r="E59" s="9">
        <v>0.4</v>
      </c>
      <c r="F59" s="13">
        <v>6.08</v>
      </c>
      <c r="G59" s="13">
        <v>2.65</v>
      </c>
      <c r="H59" s="9">
        <v>0.23</v>
      </c>
      <c r="I59" s="14">
        <v>2.09</v>
      </c>
      <c r="J59" s="12" t="s">
        <v>67</v>
      </c>
      <c r="K59" s="2">
        <f t="shared" ref="K59" si="438">M$2/M59</f>
        <v>67.274193548387075</v>
      </c>
      <c r="L59" s="2">
        <f t="shared" ref="L59" si="439">M58/M59</f>
        <v>1.0322580645161288</v>
      </c>
      <c r="M59" s="6">
        <f t="shared" ref="M59" si="440">SUM(O59:Q59)</f>
        <v>0.62000000000000011</v>
      </c>
      <c r="N59" s="9">
        <v>0.06</v>
      </c>
      <c r="O59" s="13">
        <v>0.46</v>
      </c>
      <c r="P59" s="13">
        <v>0.14000000000000001</v>
      </c>
      <c r="Q59" s="9">
        <v>0.02</v>
      </c>
      <c r="R59" s="14">
        <v>0.13</v>
      </c>
      <c r="S59" s="12" t="s">
        <v>67</v>
      </c>
      <c r="T59" s="2">
        <f t="shared" ref="T59" si="441">ROUND(B59/K59,3)</f>
        <v>0.83399999999999996</v>
      </c>
      <c r="U59" s="2">
        <f t="shared" ref="U59" si="442">ROUND(C59/L59,3)</f>
        <v>1.073</v>
      </c>
      <c r="V59" s="6">
        <f t="shared" ref="V59" si="443">ROUND(D59/M59,3)</f>
        <v>14.452</v>
      </c>
      <c r="W59" s="9">
        <f t="shared" ref="W59" si="444">ROUND(E59/N59,3)</f>
        <v>6.6669999999999998</v>
      </c>
      <c r="X59" s="13">
        <f t="shared" ref="X59" si="445">ROUND(F59/O59,3)</f>
        <v>13.217000000000001</v>
      </c>
      <c r="Y59" s="13">
        <f t="shared" ref="Y59" si="446">ROUND(G59/P59,3)</f>
        <v>18.928999999999998</v>
      </c>
      <c r="Z59" s="9">
        <f t="shared" ref="Z59" si="447">ROUND(H59/Q59,3)</f>
        <v>11.5</v>
      </c>
      <c r="AA59" s="14">
        <f t="shared" ref="AA59" si="448">ROUND(I59/R59,3)</f>
        <v>16.077000000000002</v>
      </c>
    </row>
    <row r="60" spans="1:28" s="18" customFormat="1" ht="14.25" customHeight="1" x14ac:dyDescent="0.2">
      <c r="A60" s="20" t="s">
        <v>68</v>
      </c>
      <c r="B60" s="5">
        <f t="shared" ref="B60" si="449">D$2/D60</f>
        <v>56.369955156950667</v>
      </c>
      <c r="C60" s="5">
        <f t="shared" ref="C60" si="450">D59/D60</f>
        <v>1.0044843049327354</v>
      </c>
      <c r="D60" s="4">
        <f t="shared" ref="D60" si="451">SUM(F60:H60)</f>
        <v>8.92</v>
      </c>
      <c r="E60" s="18">
        <v>0.41</v>
      </c>
      <c r="F60" s="18">
        <v>6.05</v>
      </c>
      <c r="G60" s="18">
        <v>2.64</v>
      </c>
      <c r="H60" s="18">
        <v>0.23</v>
      </c>
      <c r="I60" s="19">
        <v>2.04</v>
      </c>
      <c r="J60" s="20" t="s">
        <v>68</v>
      </c>
      <c r="K60" s="5">
        <f t="shared" ref="K60" si="452">M$2/M60</f>
        <v>68.377049180327845</v>
      </c>
      <c r="L60" s="5">
        <f t="shared" ref="L60" si="453">M59/M60</f>
        <v>1.0163934426229508</v>
      </c>
      <c r="M60" s="4">
        <f t="shared" ref="M60" si="454">SUM(O60:Q60)</f>
        <v>0.6100000000000001</v>
      </c>
      <c r="N60" s="18">
        <v>0.08</v>
      </c>
      <c r="O60" s="18">
        <v>0.45</v>
      </c>
      <c r="P60" s="18">
        <v>0.14000000000000001</v>
      </c>
      <c r="Q60" s="18">
        <v>0.02</v>
      </c>
      <c r="R60" s="19">
        <v>0.13</v>
      </c>
      <c r="S60" s="20" t="s">
        <v>68</v>
      </c>
      <c r="T60" s="5">
        <f t="shared" ref="T60" si="455">ROUND(B60/K60,3)</f>
        <v>0.82399999999999995</v>
      </c>
      <c r="U60" s="5">
        <f t="shared" ref="U60" si="456">ROUND(C60/L60,3)</f>
        <v>0.98799999999999999</v>
      </c>
      <c r="V60" s="4">
        <f t="shared" ref="V60" si="457">ROUND(D60/M60,3)</f>
        <v>14.622999999999999</v>
      </c>
      <c r="W60" s="18">
        <f t="shared" ref="W60" si="458">ROUND(E60/N60,3)</f>
        <v>5.125</v>
      </c>
      <c r="X60" s="18">
        <f t="shared" ref="X60" si="459">ROUND(F60/O60,3)</f>
        <v>13.444000000000001</v>
      </c>
      <c r="Y60" s="18">
        <f t="shared" ref="Y60" si="460">ROUND(G60/P60,3)</f>
        <v>18.856999999999999</v>
      </c>
      <c r="Z60" s="18">
        <f t="shared" ref="Z60" si="461">ROUND(H60/Q60,3)</f>
        <v>11.5</v>
      </c>
      <c r="AA60" s="19">
        <f t="shared" ref="AA60" si="462">ROUND(I60/R60,3)</f>
        <v>15.692</v>
      </c>
      <c r="AB60" s="20"/>
    </row>
    <row r="61" spans="1:28" ht="14.25" customHeight="1" x14ac:dyDescent="0.2">
      <c r="A61" s="20" t="s">
        <v>69</v>
      </c>
      <c r="B61" s="5">
        <f t="shared" ref="B61" si="463">D$2/D61</f>
        <v>58.196759259259245</v>
      </c>
      <c r="C61" s="5">
        <f t="shared" ref="C61" si="464">D60/D61</f>
        <v>1.0324074074074074</v>
      </c>
      <c r="D61" s="4">
        <f t="shared" ref="D61" si="465">SUM(F61:H61)</f>
        <v>8.64</v>
      </c>
      <c r="E61" s="9">
        <v>0.41</v>
      </c>
      <c r="F61" s="13">
        <v>5.78</v>
      </c>
      <c r="G61" s="9">
        <v>2.63</v>
      </c>
      <c r="H61" s="18">
        <v>0.23</v>
      </c>
      <c r="I61" s="10">
        <v>2.0299999999999998</v>
      </c>
      <c r="J61" s="20" t="s">
        <v>69</v>
      </c>
      <c r="K61" s="5">
        <f t="shared" ref="K61" si="466">M$2/M61</f>
        <v>67.274193548387075</v>
      </c>
      <c r="L61" s="5">
        <f t="shared" ref="L61" si="467">M60/M61</f>
        <v>0.9838709677419355</v>
      </c>
      <c r="M61" s="4">
        <f t="shared" ref="M61" si="468">SUM(O61:Q61)</f>
        <v>0.62000000000000011</v>
      </c>
      <c r="N61" s="9">
        <v>0.06</v>
      </c>
      <c r="O61" s="13">
        <v>0.46</v>
      </c>
      <c r="P61" s="9">
        <v>0.14000000000000001</v>
      </c>
      <c r="Q61" s="13">
        <v>0.02</v>
      </c>
      <c r="R61" s="10">
        <v>0.13</v>
      </c>
      <c r="S61" s="20" t="s">
        <v>69</v>
      </c>
      <c r="T61" s="5">
        <f t="shared" ref="T61" si="469">ROUND(B61/K61,3)</f>
        <v>0.86499999999999999</v>
      </c>
      <c r="U61" s="5">
        <f t="shared" ref="U61" si="470">ROUND(C61/L61,3)</f>
        <v>1.0489999999999999</v>
      </c>
      <c r="V61" s="4">
        <f t="shared" ref="V61" si="471">ROUND(D61/M61,3)</f>
        <v>13.935</v>
      </c>
      <c r="W61" s="9">
        <f t="shared" ref="W61" si="472">ROUND(E61/N61,3)</f>
        <v>6.8330000000000002</v>
      </c>
      <c r="X61" s="13">
        <f t="shared" ref="X61" si="473">ROUND(F61/O61,3)</f>
        <v>12.565</v>
      </c>
      <c r="Y61" s="9">
        <f t="shared" ref="Y61" si="474">ROUND(G61/P61,3)</f>
        <v>18.786000000000001</v>
      </c>
      <c r="Z61" s="18">
        <f t="shared" ref="Z61" si="475">ROUND(H61/Q61,3)</f>
        <v>11.5</v>
      </c>
      <c r="AA61" s="10">
        <f t="shared" ref="AA61" si="476">ROUND(I61/R61,3)</f>
        <v>15.615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2026-09-14T13:33:49Z</dcterms:modified>
</cp:coreProperties>
</file>