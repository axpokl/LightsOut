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A44D7A8E-C2B2-45FD-8054-68575D400BC2}" xr6:coauthVersionLast="47" xr6:coauthVersionMax="47" xr10:uidLastSave="{00000000-0000-0000-0000-000000000000}"/>
  <bookViews>
    <workbookView xWindow="-120" yWindow="-120" windowWidth="38640" windowHeight="2112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62" i="2" l="1"/>
  <c r="Z62" i="2"/>
  <c r="Y62" i="2"/>
  <c r="X62" i="2"/>
  <c r="W62" i="2"/>
  <c r="V62" i="2"/>
  <c r="U62" i="2"/>
  <c r="T62" i="2"/>
  <c r="M62" i="2"/>
  <c r="D62" i="2"/>
  <c r="AA61" i="2"/>
  <c r="Z61" i="2"/>
  <c r="Y61" i="2"/>
  <c r="X61" i="2"/>
  <c r="W61" i="2"/>
  <c r="M61" i="2"/>
  <c r="K61" i="2"/>
  <c r="D61" i="2"/>
  <c r="C62" i="2" s="1"/>
  <c r="D60" i="2"/>
  <c r="M60" i="2"/>
  <c r="AA60" i="2"/>
  <c r="Z60" i="2"/>
  <c r="Y60" i="2"/>
  <c r="X60" i="2"/>
  <c r="W60" i="2"/>
  <c r="AA59" i="2"/>
  <c r="Z59" i="2"/>
  <c r="Y59" i="2"/>
  <c r="X59" i="2"/>
  <c r="W59" i="2"/>
  <c r="M59" i="2"/>
  <c r="D59" i="2"/>
  <c r="D58" i="2"/>
  <c r="D57" i="2"/>
  <c r="AA58" i="2"/>
  <c r="Z58" i="2"/>
  <c r="Y58" i="2"/>
  <c r="X58" i="2"/>
  <c r="W58" i="2"/>
  <c r="AA57" i="2"/>
  <c r="Z57" i="2"/>
  <c r="Y57" i="2"/>
  <c r="X57" i="2"/>
  <c r="W57" i="2"/>
  <c r="M58" i="2"/>
  <c r="K58" i="2" s="1"/>
  <c r="M57" i="2"/>
  <c r="AA56" i="2"/>
  <c r="Z56" i="2"/>
  <c r="Y56" i="2"/>
  <c r="X56" i="2"/>
  <c r="W56" i="2"/>
  <c r="M56" i="2"/>
  <c r="D56" i="2"/>
  <c r="AA55" i="2"/>
  <c r="Z55" i="2"/>
  <c r="Y55" i="2"/>
  <c r="X55" i="2"/>
  <c r="W55" i="2"/>
  <c r="M55" i="2"/>
  <c r="D55" i="2"/>
  <c r="AA54" i="2"/>
  <c r="Z54" i="2"/>
  <c r="Y54" i="2"/>
  <c r="X54" i="2"/>
  <c r="W54" i="2"/>
  <c r="M54" i="2"/>
  <c r="D54" i="2"/>
  <c r="AA53" i="2"/>
  <c r="Z53" i="2"/>
  <c r="Y53" i="2"/>
  <c r="X53" i="2"/>
  <c r="W53" i="2"/>
  <c r="AA52" i="2"/>
  <c r="Z52" i="2"/>
  <c r="Y52" i="2"/>
  <c r="X52" i="2"/>
  <c r="W52" i="2"/>
  <c r="M53" i="2"/>
  <c r="K53" i="2" s="1"/>
  <c r="M52" i="2"/>
  <c r="K52" i="2" s="1"/>
  <c r="D53" i="2"/>
  <c r="D52" i="2"/>
  <c r="AA51" i="2"/>
  <c r="Z51" i="2"/>
  <c r="Y51" i="2"/>
  <c r="X51" i="2"/>
  <c r="W51" i="2"/>
  <c r="M51" i="2"/>
  <c r="D51" i="2"/>
  <c r="AA50" i="2"/>
  <c r="Z50" i="2"/>
  <c r="Y50" i="2"/>
  <c r="X50" i="2"/>
  <c r="W50" i="2"/>
  <c r="D50" i="2"/>
  <c r="M50" i="2"/>
  <c r="AA49" i="2"/>
  <c r="Z49" i="2"/>
  <c r="Y49" i="2"/>
  <c r="X49" i="2"/>
  <c r="W49" i="2"/>
  <c r="M49" i="2"/>
  <c r="D49" i="2"/>
  <c r="AA48" i="2"/>
  <c r="Z48" i="2"/>
  <c r="Y48" i="2"/>
  <c r="X48" i="2"/>
  <c r="W48" i="2"/>
  <c r="M48" i="2"/>
  <c r="D48" i="2"/>
  <c r="AA47" i="2"/>
  <c r="Z47" i="2"/>
  <c r="Y47" i="2"/>
  <c r="X47" i="2"/>
  <c r="W47" i="2"/>
  <c r="M47" i="2"/>
  <c r="D47" i="2"/>
  <c r="AA46" i="2"/>
  <c r="Z46" i="2"/>
  <c r="Y46" i="2"/>
  <c r="X46" i="2"/>
  <c r="W46" i="2"/>
  <c r="M46" i="2"/>
  <c r="D46" i="2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L62" i="2" l="1"/>
  <c r="K62" i="2"/>
  <c r="B62" i="2"/>
  <c r="C61" i="2"/>
  <c r="V60" i="2"/>
  <c r="L61" i="2"/>
  <c r="U61" i="2" s="1"/>
  <c r="V61" i="2"/>
  <c r="B61" i="2"/>
  <c r="T61" i="2" s="1"/>
  <c r="L60" i="2"/>
  <c r="C58" i="2"/>
  <c r="C60" i="2"/>
  <c r="U60" i="2" s="1"/>
  <c r="B60" i="2"/>
  <c r="K60" i="2"/>
  <c r="T60" i="2" s="1"/>
  <c r="C59" i="2"/>
  <c r="L59" i="2"/>
  <c r="U59" i="2" s="1"/>
  <c r="V59" i="2"/>
  <c r="K59" i="2"/>
  <c r="B59" i="2"/>
  <c r="B58" i="2"/>
  <c r="T58" i="2" s="1"/>
  <c r="C57" i="2"/>
  <c r="B57" i="2"/>
  <c r="L58" i="2"/>
  <c r="K57" i="2"/>
  <c r="V58" i="2"/>
  <c r="V57" i="2"/>
  <c r="L57" i="2"/>
  <c r="L56" i="2"/>
  <c r="C56" i="2"/>
  <c r="U56" i="2" s="1"/>
  <c r="V56" i="2"/>
  <c r="K56" i="2"/>
  <c r="B56" i="2"/>
  <c r="L55" i="2"/>
  <c r="C55" i="2"/>
  <c r="V55" i="2"/>
  <c r="K55" i="2"/>
  <c r="B55" i="2"/>
  <c r="L52" i="2"/>
  <c r="V54" i="2"/>
  <c r="L54" i="2"/>
  <c r="V53" i="2"/>
  <c r="C53" i="2"/>
  <c r="K54" i="2"/>
  <c r="L53" i="2"/>
  <c r="C54" i="2"/>
  <c r="B54" i="2"/>
  <c r="V52" i="2"/>
  <c r="B52" i="2"/>
  <c r="T52" i="2" s="1"/>
  <c r="C52" i="2"/>
  <c r="B53" i="2"/>
  <c r="T53" i="2" s="1"/>
  <c r="C51" i="2"/>
  <c r="L51" i="2"/>
  <c r="V51" i="2"/>
  <c r="K51" i="2"/>
  <c r="B51" i="2"/>
  <c r="C50" i="2"/>
  <c r="L50" i="2"/>
  <c r="V50" i="2"/>
  <c r="B50" i="2"/>
  <c r="K50" i="2"/>
  <c r="L46" i="2"/>
  <c r="L49" i="2"/>
  <c r="C49" i="2"/>
  <c r="V49" i="2"/>
  <c r="K49" i="2"/>
  <c r="B49" i="2"/>
  <c r="V48" i="2"/>
  <c r="L48" i="2"/>
  <c r="C48" i="2"/>
  <c r="K48" i="2"/>
  <c r="B48" i="2"/>
  <c r="K46" i="2"/>
  <c r="C46" i="2"/>
  <c r="V47" i="2"/>
  <c r="L47" i="2"/>
  <c r="V46" i="2"/>
  <c r="B47" i="2"/>
  <c r="C47" i="2"/>
  <c r="K47" i="2"/>
  <c r="B46" i="2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L41" i="2"/>
  <c r="C41" i="2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57" i="2" l="1"/>
  <c r="U58" i="2"/>
  <c r="U54" i="2"/>
  <c r="U57" i="2"/>
  <c r="T59" i="2"/>
  <c r="U55" i="2"/>
  <c r="T54" i="2"/>
  <c r="T56" i="2"/>
  <c r="U51" i="2"/>
  <c r="U52" i="2"/>
  <c r="U53" i="2"/>
  <c r="T55" i="2"/>
  <c r="U50" i="2"/>
  <c r="U48" i="2"/>
  <c r="T49" i="2"/>
  <c r="T48" i="2"/>
  <c r="U41" i="2"/>
  <c r="U46" i="2"/>
  <c r="T51" i="2"/>
  <c r="T50" i="2"/>
  <c r="U47" i="2"/>
  <c r="U49" i="2"/>
  <c r="T46" i="2"/>
  <c r="T47" i="2"/>
  <c r="T42" i="2"/>
  <c r="T45" i="2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<sst xmlns="http://schemas.openxmlformats.org/spreadsheetml/2006/main" count="210" uniqueCount="71">
  <si>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</si>
  <si>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</si>
  <si>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</si>
  <si>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</si>
  <si>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</si>
  <si>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</si>
  <si>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</si>
  <si>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</si>
  <si>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</si>
  <si>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</si>
  <si>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</si>
  <si>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</si>
  <si>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</si>
  <si>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</si>
  <si>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</si>
  <si>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</si>
  <si>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</si>
  <si>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</si>
  <si>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</si>
  <si>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</si>
  <si>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</si>
  <si>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</si>
  <si>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</si>
  <si>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</si>
  <si>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</si>
  <si>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</si>
  <si>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</si>
  <si>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</si>
  <si>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</si>
  <si>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</si>
  <si>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</si>
  <si>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</si>
  <si>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</si>
  <si>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</si>
  <si>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</si>
  <si>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</si>
  <si>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</si>
  <si>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</si>
  <si>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</si>
  <si>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</si>
  <si>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</si>
  <si>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</si>
  <si>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</si>
  <si>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</si>
  <si>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</si>
  <si>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</si>
  <si>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</si>
  <si>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</si>
  <si>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</si>
  <si>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</si>
  <si>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</si>
  <si>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</si>
  <si>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</si>
  <si>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</si>
  <si>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</si>
  <si>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</si>
  <si>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H68</t>
    <phoneticPr fontId="2" type="noConversion"/>
  </si>
  <si>
    <t>H69</t>
    <phoneticPr fontId="2" type="noConversion"/>
  </si>
  <si>
    <t>H70</t>
    <phoneticPr fontId="2" type="noConversion"/>
  </si>
  <si>
    <t>H71</t>
    <phoneticPr fontId="2" type="noConversion"/>
  </si>
  <si>
    <t>H72</t>
    <phoneticPr fontId="2" type="noConversion"/>
  </si>
  <si>
    <t>H73</t>
    <phoneticPr fontId="2" type="noConversion"/>
  </si>
  <si>
    <t>H74</t>
    <phoneticPr fontId="2" type="noConversion"/>
  </si>
  <si>
    <t>H75</t>
    <phoneticPr fontId="2" type="noConversion"/>
  </si>
  <si>
    <t>H76</t>
    <phoneticPr fontId="2" type="noConversion"/>
  </si>
  <si>
    <t>H77</t>
    <phoneticPr fontId="2" type="noConversion"/>
  </si>
  <si>
    <t>H78</t>
    <phoneticPr fontId="2" type="noConversion"/>
  </si>
  <si>
    <t>H79</t>
    <phoneticPr fontId="2" type="noConversion"/>
  </si>
  <si>
    <t>H80</t>
    <phoneticPr fontId="2" type="noConversion"/>
  </si>
  <si>
    <t>H81</t>
    <phoneticPr fontId="2" type="noConversion"/>
  </si>
  <si>
    <t>H82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</si>
</sst>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62"/>
  <sheetViews>
    <sheetView tabSelected="1" topLeftCell="A28" workbookViewId="0">
      <selection activeCell="O62" sqref="O62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9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21.880765883376846</v>
      </c>
      <c r="C43" s="5">
        <f t="shared" ref="C43" si="255">D42/D43</f>
        <v>1.0813751087902523</v>
      </c>
      <c r="D43" s="4">
        <f t="shared" ref="D43" si="256">SUM(F43:H43)</f>
        <v>22.98</v>
      </c>
      <c r="E43" s="9">
        <v>1</v>
      </c>
      <c r="F43" s="13">
        <v>10.82</v>
      </c>
      <c r="G43" s="9">
        <v>11.09</v>
      </c>
      <c r="H43" s="9">
        <v>1.07</v>
      </c>
      <c r="I43" s="10">
        <v>12.7</v>
      </c>
      <c r="J43" s="12" t="s">
        <v>51</v>
      </c>
      <c r="K43" s="5">
        <f t="shared" ref="K43" si="257">M$2/M43</f>
        <v>42.999999999999993</v>
      </c>
      <c r="L43" s="5">
        <f t="shared" ref="L43" si="258">M42/M43</f>
        <v>1.0206185567010309</v>
      </c>
      <c r="M43" s="4">
        <f t="shared" ref="M43" si="259">SUM(O43:Q43)</f>
        <v>0.97</v>
      </c>
      <c r="N43" s="9">
        <v>0.09</v>
      </c>
      <c r="O43" s="13">
        <v>0.59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0.50900000000000001</v>
      </c>
      <c r="U43" s="5">
        <f t="shared" ref="U43" si="261">ROUND(C43/L43,3)</f>
        <v>1.06</v>
      </c>
      <c r="V43" s="4">
        <f t="shared" ref="V43" si="262">ROUND(D43/M43,3)</f>
        <v>23.690999999999999</v>
      </c>
      <c r="W43" s="9">
        <f t="shared" ref="W43" si="263">ROUND(E43/N43,3)</f>
        <v>11.111000000000001</v>
      </c>
      <c r="X43" s="13">
        <f t="shared" ref="X43" si="264">ROUND(F43/O43,3)</f>
        <v>18.338999999999999</v>
      </c>
      <c r="Y43" s="9">
        <f t="shared" ref="Y43" si="265">ROUND(G43/P43,3)</f>
        <v>30.806000000000001</v>
      </c>
      <c r="Z43" s="9">
        <f t="shared" ref="Z43" si="266">ROUND(H43/Q43,3)</f>
        <v>53.5</v>
      </c>
      <c r="AA43" s="10">
        <f t="shared" ref="AA43" si="267">ROUND(I43/R43,3)</f>
        <v>21.524999999999999</v>
      </c>
    </row>
    <row r="44" spans="1:28" ht="14.25" customHeight="1" x14ac:dyDescent="0.2">
      <c r="A44" s="12" t="s">
        <v>52</v>
      </c>
      <c r="B44" s="5">
        <f t="shared" ref="B44" si="268">D$2/D44</f>
        <v>22.427297056199816</v>
      </c>
      <c r="C44" s="5">
        <f t="shared" ref="C44" si="269">D43/D44</f>
        <v>1.0249776984834968</v>
      </c>
      <c r="D44" s="4">
        <f t="shared" ref="D44" si="270">SUM(F44:H44)</f>
        <v>22.42</v>
      </c>
      <c r="E44" s="9">
        <v>0.8</v>
      </c>
      <c r="F44" s="9">
        <v>10.78</v>
      </c>
      <c r="G44" s="9">
        <v>11</v>
      </c>
      <c r="H44" s="13">
        <v>0.64</v>
      </c>
      <c r="I44" s="10">
        <v>12.71</v>
      </c>
      <c r="J44" s="12" t="s">
        <v>52</v>
      </c>
      <c r="K44" s="5">
        <f t="shared" ref="K44:K46" si="271">M$2/M44</f>
        <v>42.561224489795912</v>
      </c>
      <c r="L44" s="5">
        <f t="shared" ref="L44:L46" si="272">M43/M44</f>
        <v>0.98979591836734693</v>
      </c>
      <c r="M44" s="4">
        <f t="shared" ref="M44:M46" si="273">SUM(O44:Q44)</f>
        <v>0.98</v>
      </c>
      <c r="N44" s="9">
        <v>7.0000000000000007E-2</v>
      </c>
      <c r="O44" s="9">
        <v>0.59</v>
      </c>
      <c r="P44" s="9">
        <v>0.36</v>
      </c>
      <c r="Q44" s="13">
        <v>0.03</v>
      </c>
      <c r="R44" s="10">
        <v>0.57999999999999996</v>
      </c>
      <c r="S44" s="12" t="s">
        <v>52</v>
      </c>
      <c r="T44" s="5">
        <f t="shared" ref="T44" si="274">ROUND(B44/K44,3)</f>
        <v>0.52700000000000002</v>
      </c>
      <c r="U44" s="5">
        <f t="shared" ref="U44" si="275">ROUND(C44/L44,3)</f>
        <v>1.036</v>
      </c>
      <c r="V44" s="4">
        <f t="shared" ref="V44" si="276">ROUND(D44/M44,3)</f>
        <v>22.878</v>
      </c>
      <c r="W44" s="9">
        <f t="shared" ref="W44" si="277">ROUND(E44/N44,3)</f>
        <v>11.429</v>
      </c>
      <c r="X44" s="9">
        <f t="shared" ref="X44" si="278">ROUND(F44/O44,3)</f>
        <v>18.271000000000001</v>
      </c>
      <c r="Y44" s="9">
        <f t="shared" ref="Y44" si="279">ROUND(G44/P44,3)</f>
        <v>30.556000000000001</v>
      </c>
      <c r="Z44" s="13">
        <f t="shared" ref="Z44" si="280">ROUND(H44/Q44,3)</f>
        <v>21.332999999999998</v>
      </c>
      <c r="AA44" s="10">
        <f t="shared" ref="AA44" si="281">ROUND(I44/R44,3)</f>
        <v>21.914000000000001</v>
      </c>
    </row>
    <row r="45" spans="1:28" ht="14.25" customHeight="1" x14ac:dyDescent="0.2">
      <c r="A45" s="12" t="s">
        <v>53</v>
      </c>
      <c r="B45" s="2">
        <f t="shared" ref="B45" si="282">D$2/D45</f>
        <v>24.720747295968536</v>
      </c>
      <c r="C45" s="2">
        <f t="shared" ref="C45" si="283">D44/D45</f>
        <v>1.1022615535889875</v>
      </c>
      <c r="D45" s="6">
        <f t="shared" ref="D45" si="284">SUM(F45:H45)</f>
        <v>20.339999999999996</v>
      </c>
      <c r="E45" s="9">
        <v>0.79</v>
      </c>
      <c r="F45" s="13">
        <v>8.69</v>
      </c>
      <c r="G45" s="9">
        <v>11</v>
      </c>
      <c r="H45" s="9">
        <v>0.65</v>
      </c>
      <c r="I45" s="10">
        <v>12.58</v>
      </c>
      <c r="J45" s="12" t="s">
        <v>53</v>
      </c>
      <c r="K45" s="2">
        <f t="shared" si="271"/>
        <v>46.344444444444434</v>
      </c>
      <c r="L45" s="2">
        <f t="shared" si="272"/>
        <v>1.0888888888888888</v>
      </c>
      <c r="M45" s="6">
        <f t="shared" si="273"/>
        <v>0.9</v>
      </c>
      <c r="N45" s="9">
        <v>0.08</v>
      </c>
      <c r="O45" s="13">
        <v>0.51</v>
      </c>
      <c r="P45" s="9">
        <v>0.36</v>
      </c>
      <c r="Q45" s="9">
        <v>0.03</v>
      </c>
      <c r="R45" s="10">
        <v>0.57999999999999996</v>
      </c>
      <c r="S45" s="12" t="s">
        <v>53</v>
      </c>
      <c r="T45" s="2">
        <f t="shared" ref="T45" si="285">ROUND(B45/K45,3)</f>
        <v>0.53300000000000003</v>
      </c>
      <c r="U45" s="2">
        <f t="shared" ref="U45" si="286">ROUND(C45/L45,3)</f>
        <v>1.012</v>
      </c>
      <c r="V45" s="6">
        <f t="shared" ref="V45" si="287">ROUND(D45/M45,3)</f>
        <v>22.6</v>
      </c>
      <c r="W45" s="9">
        <f t="shared" ref="W45" si="288">ROUND(E45/N45,3)</f>
        <v>9.875</v>
      </c>
      <c r="X45" s="13">
        <f t="shared" ref="X45" si="289">ROUND(F45/O45,3)</f>
        <v>17.039000000000001</v>
      </c>
      <c r="Y45" s="9">
        <f t="shared" ref="Y45" si="290">ROUND(G45/P45,3)</f>
        <v>30.556000000000001</v>
      </c>
      <c r="Z45" s="9">
        <f t="shared" ref="Z45" si="291">ROUND(H45/Q45,3)</f>
        <v>21.667000000000002</v>
      </c>
      <c r="AA45" s="10">
        <f t="shared" ref="AA45" si="292">ROUND(I45/R45,3)</f>
        <v>21.69</v>
      </c>
    </row>
    <row r="46" spans="1:28" ht="14.25" customHeight="1" x14ac:dyDescent="0.2">
      <c r="A46" s="12" t="s">
        <v>54</v>
      </c>
      <c r="B46" s="5">
        <f t="shared" ref="B46" si="293">D$2/D46</f>
        <v>24.611845325501712</v>
      </c>
      <c r="C46" s="5">
        <f t="shared" ref="C46" si="294">D45/D46</f>
        <v>0.99559471365638752</v>
      </c>
      <c r="D46" s="4">
        <f t="shared" ref="D46" si="295">SUM(F46:H46)</f>
        <v>20.43</v>
      </c>
      <c r="E46" s="9">
        <v>0.81</v>
      </c>
      <c r="F46" s="9">
        <v>8.76</v>
      </c>
      <c r="G46" s="9">
        <v>11.03</v>
      </c>
      <c r="H46" s="9">
        <v>0.64</v>
      </c>
      <c r="I46" s="14">
        <v>9.73</v>
      </c>
      <c r="J46" s="12" t="s">
        <v>54</v>
      </c>
      <c r="K46" s="5">
        <f t="shared" si="271"/>
        <v>46.344444444444434</v>
      </c>
      <c r="L46" s="5">
        <f t="shared" si="272"/>
        <v>1</v>
      </c>
      <c r="M46" s="4">
        <f t="shared" si="273"/>
        <v>0.9</v>
      </c>
      <c r="N46" s="9">
        <v>0.09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" si="296">ROUND(B46/K46,3)</f>
        <v>0.53100000000000003</v>
      </c>
      <c r="U46" s="5">
        <f t="shared" ref="U46" si="297">ROUND(C46/L46,3)</f>
        <v>0.996</v>
      </c>
      <c r="V46" s="4">
        <f t="shared" ref="V46" si="298">ROUND(D46/M46,3)</f>
        <v>22.7</v>
      </c>
      <c r="W46" s="9">
        <f t="shared" ref="W46" si="299">ROUND(E46/N46,3)</f>
        <v>9</v>
      </c>
      <c r="X46" s="9">
        <f t="shared" ref="X46" si="300">ROUND(F46/O46,3)</f>
        <v>17.175999999999998</v>
      </c>
      <c r="Y46" s="9">
        <f t="shared" ref="Y46" si="301">ROUND(G46/P46,3)</f>
        <v>30.638999999999999</v>
      </c>
      <c r="Z46" s="9">
        <f t="shared" ref="Z46" si="302">ROUND(H46/Q46,3)</f>
        <v>21.332999999999998</v>
      </c>
      <c r="AA46" s="14">
        <f t="shared" ref="AA46" si="303">ROUND(I46/R46,3)</f>
        <v>28.617999999999999</v>
      </c>
    </row>
    <row r="47" spans="1:28" ht="14.25" customHeight="1" x14ac:dyDescent="0.2">
      <c r="A47" s="12" t="s">
        <v>55</v>
      </c>
      <c r="B47" s="5">
        <f t="shared" ref="B47" si="304">D$2/D47</f>
        <v>25.065802592223324</v>
      </c>
      <c r="C47" s="5">
        <f t="shared" ref="C47" si="305">D46/D47</f>
        <v>1.0184446660019939</v>
      </c>
      <c r="D47" s="4">
        <f t="shared" ref="D47" si="306">SUM(F47:H47)</f>
        <v>20.060000000000002</v>
      </c>
      <c r="E47" s="9">
        <v>0.78</v>
      </c>
      <c r="F47" s="9">
        <v>8.6999999999999993</v>
      </c>
      <c r="G47" s="13">
        <v>10.65</v>
      </c>
      <c r="H47" s="9">
        <v>0.71</v>
      </c>
      <c r="I47" s="14">
        <v>9.27</v>
      </c>
      <c r="J47" s="12" t="s">
        <v>55</v>
      </c>
      <c r="K47" s="5">
        <f t="shared" ref="K47" si="307">M$2/M47</f>
        <v>46.865168539325836</v>
      </c>
      <c r="L47" s="5">
        <f t="shared" ref="L47" si="308">M46/M47</f>
        <v>1.0112359550561798</v>
      </c>
      <c r="M47" s="4">
        <f t="shared" ref="M47" si="309">SUM(O47:Q47)</f>
        <v>0.89</v>
      </c>
      <c r="N47" s="9">
        <v>0.08</v>
      </c>
      <c r="O47" s="9">
        <v>0.5</v>
      </c>
      <c r="P47" s="13">
        <v>0.36</v>
      </c>
      <c r="Q47" s="9">
        <v>0.03</v>
      </c>
      <c r="R47" s="14">
        <v>0.33</v>
      </c>
      <c r="S47" s="12" t="s">
        <v>55</v>
      </c>
      <c r="T47" s="5">
        <f t="shared" ref="T47" si="310">ROUND(B47/K47,3)</f>
        <v>0.53500000000000003</v>
      </c>
      <c r="U47" s="5">
        <f t="shared" ref="U47" si="311">ROUND(C47/L47,3)</f>
        <v>1.0069999999999999</v>
      </c>
      <c r="V47" s="4">
        <f t="shared" ref="V47" si="312">ROUND(D47/M47,3)</f>
        <v>22.539000000000001</v>
      </c>
      <c r="W47" s="9">
        <f t="shared" ref="W47" si="313">ROUND(E47/N47,3)</f>
        <v>9.75</v>
      </c>
      <c r="X47" s="9">
        <f t="shared" ref="X47" si="314">ROUND(F47/O47,3)</f>
        <v>17.399999999999999</v>
      </c>
      <c r="Y47" s="13">
        <f t="shared" ref="Y47" si="315">ROUND(G47/P47,3)</f>
        <v>29.582999999999998</v>
      </c>
      <c r="Z47" s="9">
        <f t="shared" ref="Z47" si="316">ROUND(H47/Q47,3)</f>
        <v>23.667000000000002</v>
      </c>
      <c r="AA47" s="14">
        <f t="shared" ref="AA47" si="317">ROUND(I47/R47,3)</f>
        <v>28.091000000000001</v>
      </c>
    </row>
    <row r="48" spans="1:28" ht="14.25" customHeight="1" x14ac:dyDescent="0.2">
      <c r="A48" s="12" t="s">
        <v>56</v>
      </c>
      <c r="B48" s="2">
        <f t="shared" ref="B48" si="318">D$2/D48</f>
        <v>27.135456017269295</v>
      </c>
      <c r="C48" s="2">
        <f t="shared" ref="C48" si="319">D47/D48</f>
        <v>1.0825688073394497</v>
      </c>
      <c r="D48" s="6">
        <f t="shared" ref="D48" si="320">SUM(F48:H48)</f>
        <v>18.529999999999998</v>
      </c>
      <c r="E48" s="9">
        <v>0.79</v>
      </c>
      <c r="F48" s="18">
        <v>8.6</v>
      </c>
      <c r="G48" s="13">
        <v>9.2799999999999994</v>
      </c>
      <c r="H48" s="9">
        <v>0.65</v>
      </c>
      <c r="I48" s="14">
        <v>7</v>
      </c>
      <c r="J48" s="12" t="s">
        <v>56</v>
      </c>
      <c r="K48" s="2">
        <f t="shared" ref="K48" si="321">M$2/M48</f>
        <v>53.474358974358964</v>
      </c>
      <c r="L48" s="2">
        <f t="shared" ref="L48" si="322">M47/M48</f>
        <v>1.141025641025641</v>
      </c>
      <c r="M48" s="6">
        <f t="shared" ref="M48" si="323">SUM(O48:Q48)</f>
        <v>0.78</v>
      </c>
      <c r="N48" s="9">
        <v>0.08</v>
      </c>
      <c r="O48" s="18">
        <v>0.5</v>
      </c>
      <c r="P48" s="13">
        <v>0.25</v>
      </c>
      <c r="Q48" s="9">
        <v>0.03</v>
      </c>
      <c r="R48" s="14">
        <v>0.25</v>
      </c>
      <c r="S48" s="12" t="s">
        <v>56</v>
      </c>
      <c r="T48" s="2">
        <f t="shared" ref="T48" si="324">ROUND(B48/K48,3)</f>
        <v>0.50700000000000001</v>
      </c>
      <c r="U48" s="2">
        <f t="shared" ref="U48" si="325">ROUND(C48/L48,3)</f>
        <v>0.94899999999999995</v>
      </c>
      <c r="V48" s="6">
        <f t="shared" ref="V48" si="326">ROUND(D48/M48,3)</f>
        <v>23.756</v>
      </c>
      <c r="W48" s="9">
        <f t="shared" ref="W48" si="327">ROUND(E48/N48,3)</f>
        <v>9.875</v>
      </c>
      <c r="X48" s="18">
        <f t="shared" ref="X48" si="328">ROUND(F48/O48,3)</f>
        <v>17.2</v>
      </c>
      <c r="Y48" s="13">
        <f t="shared" ref="Y48" si="329">ROUND(G48/P48,3)</f>
        <v>37.119999999999997</v>
      </c>
      <c r="Z48" s="9">
        <f t="shared" ref="Z48" si="330">ROUND(H48/Q48,3)</f>
        <v>21.667000000000002</v>
      </c>
      <c r="AA48" s="14">
        <f t="shared" ref="AA48" si="331">ROUND(I48/R48,3)</f>
        <v>28</v>
      </c>
    </row>
    <row r="49" spans="1:28" ht="14.25" customHeight="1" x14ac:dyDescent="0.2">
      <c r="A49" s="12" t="s">
        <v>57</v>
      </c>
      <c r="B49" s="5">
        <f t="shared" ref="B49" si="332">D$2/D49</f>
        <v>27.446506550218338</v>
      </c>
      <c r="C49" s="5">
        <f t="shared" ref="C49" si="333">D48/D49</f>
        <v>1.0114628820960698</v>
      </c>
      <c r="D49" s="4">
        <f t="shared" ref="D49" si="334">SUM(F49:H49)</f>
        <v>18.32</v>
      </c>
      <c r="E49" s="13">
        <v>0.62</v>
      </c>
      <c r="F49" s="9">
        <v>8.6</v>
      </c>
      <c r="G49" s="9">
        <v>9.06</v>
      </c>
      <c r="H49" s="9">
        <v>0.66</v>
      </c>
      <c r="I49" s="14">
        <v>7</v>
      </c>
      <c r="J49" s="12" t="s">
        <v>57</v>
      </c>
      <c r="K49" s="5">
        <f t="shared" ref="K49" si="335">M$2/M49</f>
        <v>54.168831168831161</v>
      </c>
      <c r="L49" s="5">
        <f t="shared" ref="L49" si="336">M48/M49</f>
        <v>1.0129870129870131</v>
      </c>
      <c r="M49" s="4">
        <f t="shared" ref="M49" si="337">SUM(O49:Q49)</f>
        <v>0.77</v>
      </c>
      <c r="N49" s="13">
        <v>0.08</v>
      </c>
      <c r="O49" s="9">
        <v>0.5</v>
      </c>
      <c r="P49" s="9">
        <v>0.24</v>
      </c>
      <c r="Q49" s="9">
        <v>0.03</v>
      </c>
      <c r="R49" s="14">
        <v>0.24</v>
      </c>
      <c r="S49" s="12" t="s">
        <v>57</v>
      </c>
      <c r="T49" s="5">
        <f t="shared" ref="T49" si="338">ROUND(B49/K49,3)</f>
        <v>0.50700000000000001</v>
      </c>
      <c r="U49" s="5">
        <f t="shared" ref="U49" si="339">ROUND(C49/L49,3)</f>
        <v>0.998</v>
      </c>
      <c r="V49" s="4">
        <f t="shared" ref="V49" si="340">ROUND(D49/M49,3)</f>
        <v>23.792000000000002</v>
      </c>
      <c r="W49" s="13">
        <f t="shared" ref="W49" si="341">ROUND(E49/N49,3)</f>
        <v>7.75</v>
      </c>
      <c r="X49" s="9">
        <f t="shared" ref="X49" si="342">ROUND(F49/O49,3)</f>
        <v>17.2</v>
      </c>
      <c r="Y49" s="9">
        <f t="shared" ref="Y49" si="343">ROUND(G49/P49,3)</f>
        <v>37.75</v>
      </c>
      <c r="Z49" s="9">
        <f t="shared" ref="Z49" si="344">ROUND(H49/Q49,3)</f>
        <v>22</v>
      </c>
      <c r="AA49" s="14">
        <f t="shared" ref="AA49" si="345">ROUND(I49/R49,3)</f>
        <v>29.167000000000002</v>
      </c>
    </row>
    <row r="50" spans="1:28" ht="14.25" customHeight="1" x14ac:dyDescent="0.2">
      <c r="A50" s="12" t="s">
        <v>58</v>
      </c>
      <c r="B50" s="2">
        <f t="shared" ref="B50" si="346">D$2/D50</f>
        <v>28.765446224256287</v>
      </c>
      <c r="C50" s="2">
        <f t="shared" ref="C50" si="347">D49/D50</f>
        <v>1.0480549199084668</v>
      </c>
      <c r="D50" s="6">
        <f t="shared" ref="D50" si="348">SUM(F50:H50)</f>
        <v>17.48</v>
      </c>
      <c r="E50" s="9">
        <v>0.64</v>
      </c>
      <c r="F50" s="13">
        <v>7.76</v>
      </c>
      <c r="G50" s="9">
        <v>9.08</v>
      </c>
      <c r="H50" s="9">
        <v>0.64</v>
      </c>
      <c r="I50" s="10">
        <v>6.95</v>
      </c>
      <c r="J50" s="12" t="s">
        <v>58</v>
      </c>
      <c r="K50" s="2">
        <f t="shared" ref="K50" si="349">M$2/M50</f>
        <v>56.364864864864856</v>
      </c>
      <c r="L50" s="2">
        <f t="shared" ref="L50" si="350">M49/M50</f>
        <v>1.0405405405405406</v>
      </c>
      <c r="M50" s="6">
        <f t="shared" ref="M50" si="351">SUM(O50:Q50)</f>
        <v>0.74</v>
      </c>
      <c r="N50" s="9">
        <v>7.0000000000000007E-2</v>
      </c>
      <c r="O50" s="13">
        <v>0.47</v>
      </c>
      <c r="P50" s="9">
        <v>0.24</v>
      </c>
      <c r="Q50" s="9">
        <v>0.03</v>
      </c>
      <c r="R50" s="10">
        <v>0.24</v>
      </c>
      <c r="S50" s="12" t="s">
        <v>58</v>
      </c>
      <c r="T50" s="2">
        <f t="shared" ref="T50" si="352">ROUND(B50/K50,3)</f>
        <v>0.51</v>
      </c>
      <c r="U50" s="2">
        <f t="shared" ref="U50" si="353">ROUND(C50/L50,3)</f>
        <v>1.0069999999999999</v>
      </c>
      <c r="V50" s="6">
        <f t="shared" ref="V50" si="354">ROUND(D50/M50,3)</f>
        <v>23.622</v>
      </c>
      <c r="W50" s="9">
        <f t="shared" ref="W50" si="355">ROUND(E50/N50,3)</f>
        <v>9.1430000000000007</v>
      </c>
      <c r="X50" s="13">
        <f t="shared" ref="X50" si="356">ROUND(F50/O50,3)</f>
        <v>16.510999999999999</v>
      </c>
      <c r="Y50" s="9">
        <f t="shared" ref="Y50" si="357">ROUND(G50/P50,3)</f>
        <v>37.832999999999998</v>
      </c>
      <c r="Z50" s="9">
        <f t="shared" ref="Z50" si="358">ROUND(H50/Q50,3)</f>
        <v>21.332999999999998</v>
      </c>
      <c r="AA50" s="10">
        <f t="shared" ref="AA50" si="359">ROUND(I50/R50,3)</f>
        <v>28.957999999999998</v>
      </c>
    </row>
    <row r="51" spans="1:28" ht="14.25" customHeight="1" x14ac:dyDescent="0.2">
      <c r="A51" s="12" t="s">
        <v>59</v>
      </c>
      <c r="B51" s="2">
        <f t="shared" ref="B51" si="360">D$2/D51</f>
        <v>32.608300907911797</v>
      </c>
      <c r="C51" s="2">
        <f t="shared" ref="C51" si="361">D50/D51</f>
        <v>1.1335927367055771</v>
      </c>
      <c r="D51" s="6">
        <f t="shared" ref="D51" si="362">SUM(F51:H51)</f>
        <v>15.42</v>
      </c>
      <c r="E51" s="9">
        <v>0.66</v>
      </c>
      <c r="F51" s="9">
        <v>7.76</v>
      </c>
      <c r="G51" s="13">
        <v>7.01</v>
      </c>
      <c r="H51" s="9">
        <v>0.65</v>
      </c>
      <c r="I51" s="14">
        <v>4.96</v>
      </c>
      <c r="J51" s="12" t="s">
        <v>59</v>
      </c>
      <c r="K51" s="2">
        <f t="shared" ref="K51:K53" si="363">M$2/M51</f>
        <v>62.253731343283569</v>
      </c>
      <c r="L51" s="2">
        <f t="shared" ref="L51:L53" si="364">M50/M51</f>
        <v>1.1044776119402984</v>
      </c>
      <c r="M51" s="6">
        <f t="shared" ref="M51:M53" si="365">SUM(O51:Q51)</f>
        <v>0.67</v>
      </c>
      <c r="N51" s="9">
        <v>7.0000000000000007E-2</v>
      </c>
      <c r="O51" s="9">
        <v>0.47</v>
      </c>
      <c r="P51" s="13">
        <v>0.17</v>
      </c>
      <c r="Q51" s="9">
        <v>0.03</v>
      </c>
      <c r="R51" s="14">
        <v>0.18</v>
      </c>
      <c r="S51" s="12" t="s">
        <v>59</v>
      </c>
      <c r="T51" s="2">
        <f t="shared" ref="T51" si="366">ROUND(B51/K51,3)</f>
        <v>0.52400000000000002</v>
      </c>
      <c r="U51" s="2">
        <f t="shared" ref="U51" si="367">ROUND(C51/L51,3)</f>
        <v>1.026</v>
      </c>
      <c r="V51" s="6">
        <f t="shared" ref="V51" si="368">ROUND(D51/M51,3)</f>
        <v>23.015000000000001</v>
      </c>
      <c r="W51" s="9">
        <f t="shared" ref="W51" si="369">ROUND(E51/N51,3)</f>
        <v>9.4290000000000003</v>
      </c>
      <c r="X51" s="9">
        <f t="shared" ref="X51" si="370">ROUND(F51/O51,3)</f>
        <v>16.510999999999999</v>
      </c>
      <c r="Y51" s="13">
        <f t="shared" ref="Y51" si="371">ROUND(G51/P51,3)</f>
        <v>41.234999999999999</v>
      </c>
      <c r="Z51" s="9">
        <f t="shared" ref="Z51" si="372">ROUND(H51/Q51,3)</f>
        <v>21.667000000000002</v>
      </c>
      <c r="AA51" s="14">
        <f t="shared" ref="AA51" si="373">ROUND(I51/R51,3)</f>
        <v>27.556000000000001</v>
      </c>
    </row>
    <row r="52" spans="1:28" ht="14.25" customHeight="1" x14ac:dyDescent="0.2">
      <c r="A52" s="12" t="s">
        <v>60</v>
      </c>
      <c r="B52" s="5">
        <f t="shared" ref="B52:B53" si="374">D$2/D52</f>
        <v>32.356499356499349</v>
      </c>
      <c r="C52" s="5">
        <f t="shared" ref="C52:C53" si="375">D51/D52</f>
        <v>0.99227799227799218</v>
      </c>
      <c r="D52" s="4">
        <f t="shared" ref="D52:D53" si="376">SUM(F52:H52)</f>
        <v>15.540000000000001</v>
      </c>
      <c r="E52" s="9">
        <v>0.63</v>
      </c>
      <c r="F52" s="9">
        <v>7.82</v>
      </c>
      <c r="G52" s="9">
        <v>7.03</v>
      </c>
      <c r="H52" s="9">
        <v>0.69</v>
      </c>
      <c r="I52" s="14">
        <v>4.97</v>
      </c>
      <c r="J52" s="12" t="s">
        <v>60</v>
      </c>
      <c r="K52" s="5">
        <f t="shared" si="363"/>
        <v>62.253731343283569</v>
      </c>
      <c r="L52" s="5">
        <f t="shared" si="364"/>
        <v>1</v>
      </c>
      <c r="M52" s="4">
        <f t="shared" si="365"/>
        <v>0.67</v>
      </c>
      <c r="N52" s="9">
        <v>7.0000000000000007E-2</v>
      </c>
      <c r="O52" s="9">
        <v>0.47</v>
      </c>
      <c r="P52" s="9">
        <v>0.17</v>
      </c>
      <c r="Q52" s="9">
        <v>0.03</v>
      </c>
      <c r="R52" s="14">
        <v>0.18</v>
      </c>
      <c r="S52" s="12" t="s">
        <v>60</v>
      </c>
      <c r="T52" s="5">
        <f t="shared" ref="T52:T53" si="377">ROUND(B52/K52,3)</f>
        <v>0.52</v>
      </c>
      <c r="U52" s="5">
        <f t="shared" ref="U52:U53" si="378">ROUND(C52/L52,3)</f>
        <v>0.99199999999999999</v>
      </c>
      <c r="V52" s="4">
        <f t="shared" ref="V52:V53" si="379">ROUND(D52/M52,3)</f>
        <v>23.193999999999999</v>
      </c>
      <c r="W52" s="9">
        <f t="shared" ref="W52:W53" si="380">ROUND(E52/N52,3)</f>
        <v>9</v>
      </c>
      <c r="X52" s="9">
        <f t="shared" ref="X52:X53" si="381">ROUND(F52/O52,3)</f>
        <v>16.638000000000002</v>
      </c>
      <c r="Y52" s="9">
        <f t="shared" ref="Y52:Y53" si="382">ROUND(G52/P52,3)</f>
        <v>41.353000000000002</v>
      </c>
      <c r="Z52" s="9">
        <f t="shared" ref="Z52:Z53" si="383">ROUND(H52/Q52,3)</f>
        <v>23</v>
      </c>
      <c r="AA52" s="14">
        <f t="shared" ref="AA52:AA53" si="384">ROUND(I52/R52,3)</f>
        <v>27.611000000000001</v>
      </c>
    </row>
    <row r="53" spans="1:28" ht="14.25" customHeight="1" x14ac:dyDescent="0.2">
      <c r="A53" s="12" t="s">
        <v>61</v>
      </c>
      <c r="B53" s="5">
        <f t="shared" si="374"/>
        <v>33.233311302048904</v>
      </c>
      <c r="C53" s="5">
        <f t="shared" si="375"/>
        <v>1.0270984798413747</v>
      </c>
      <c r="D53" s="4">
        <f t="shared" si="376"/>
        <v>15.13</v>
      </c>
      <c r="E53" s="9">
        <v>0.67</v>
      </c>
      <c r="F53" s="9">
        <v>7.78</v>
      </c>
      <c r="G53" s="13">
        <v>6.68</v>
      </c>
      <c r="H53" s="9">
        <v>0.67</v>
      </c>
      <c r="I53" s="14">
        <v>4.91</v>
      </c>
      <c r="J53" s="12" t="s">
        <v>61</v>
      </c>
      <c r="K53" s="5">
        <f t="shared" si="363"/>
        <v>64.169230769230751</v>
      </c>
      <c r="L53" s="5">
        <f t="shared" si="364"/>
        <v>1.0307692307692309</v>
      </c>
      <c r="M53" s="4">
        <f t="shared" si="365"/>
        <v>0.65</v>
      </c>
      <c r="N53" s="9">
        <v>7.0000000000000007E-2</v>
      </c>
      <c r="O53" s="9">
        <v>0.47</v>
      </c>
      <c r="P53" s="13">
        <v>0.15</v>
      </c>
      <c r="Q53" s="9">
        <v>0.03</v>
      </c>
      <c r="R53" s="14">
        <v>0.16</v>
      </c>
      <c r="S53" s="12" t="s">
        <v>61</v>
      </c>
      <c r="T53" s="5">
        <f t="shared" si="377"/>
        <v>0.51800000000000002</v>
      </c>
      <c r="U53" s="5">
        <f t="shared" si="378"/>
        <v>0.996</v>
      </c>
      <c r="V53" s="4">
        <f t="shared" si="379"/>
        <v>23.277000000000001</v>
      </c>
      <c r="W53" s="9">
        <f t="shared" si="380"/>
        <v>9.5709999999999997</v>
      </c>
      <c r="X53" s="9">
        <f t="shared" si="381"/>
        <v>16.553000000000001</v>
      </c>
      <c r="Y53" s="13">
        <f t="shared" si="382"/>
        <v>44.533000000000001</v>
      </c>
      <c r="Z53" s="9">
        <f t="shared" si="383"/>
        <v>22.332999999999998</v>
      </c>
      <c r="AA53" s="14">
        <f t="shared" si="384"/>
        <v>30.687999999999999</v>
      </c>
    </row>
    <row r="54" spans="1:28" ht="14.25" customHeight="1" x14ac:dyDescent="0.2">
      <c r="A54" s="12" t="s">
        <v>62</v>
      </c>
      <c r="B54" s="5">
        <f t="shared" ref="B54" si="385">D$2/D54</f>
        <v>33.521333333333331</v>
      </c>
      <c r="C54" s="5">
        <f t="shared" ref="C54" si="386">D53/D54</f>
        <v>1.0086666666666668</v>
      </c>
      <c r="D54" s="4">
        <f t="shared" ref="D54" si="387">SUM(F54:H54)</f>
        <v>15</v>
      </c>
      <c r="E54" s="13">
        <v>0.4</v>
      </c>
      <c r="F54" s="9">
        <v>7.55</v>
      </c>
      <c r="G54" s="9">
        <v>6.81</v>
      </c>
      <c r="H54" s="9">
        <v>0.64</v>
      </c>
      <c r="I54" s="10">
        <v>4.71</v>
      </c>
      <c r="J54" s="12" t="s">
        <v>62</v>
      </c>
      <c r="K54" s="5">
        <f t="shared" ref="K54" si="388">M$2/M54</f>
        <v>64.169230769230751</v>
      </c>
      <c r="L54" s="5">
        <f t="shared" ref="L54" si="389">M53/M54</f>
        <v>1</v>
      </c>
      <c r="M54" s="4">
        <f t="shared" ref="M54" si="390">SUM(O54:Q54)</f>
        <v>0.65</v>
      </c>
      <c r="N54" s="13">
        <v>0.06</v>
      </c>
      <c r="O54" s="9">
        <v>0.47</v>
      </c>
      <c r="P54" s="9">
        <v>0.15</v>
      </c>
      <c r="Q54" s="9">
        <v>0.03</v>
      </c>
      <c r="R54" s="10">
        <v>0.15</v>
      </c>
      <c r="S54" s="12" t="s">
        <v>62</v>
      </c>
      <c r="T54" s="5">
        <f t="shared" ref="T54" si="391">ROUND(B54/K54,3)</f>
        <v>0.52200000000000002</v>
      </c>
      <c r="U54" s="5">
        <f t="shared" ref="U54" si="392">ROUND(C54/L54,3)</f>
        <v>1.0089999999999999</v>
      </c>
      <c r="V54" s="4">
        <f t="shared" ref="V54" si="393">ROUND(D54/M54,3)</f>
        <v>23.077000000000002</v>
      </c>
      <c r="W54" s="13">
        <f t="shared" ref="W54" si="394">ROUND(E54/N54,3)</f>
        <v>6.6669999999999998</v>
      </c>
      <c r="X54" s="9">
        <f t="shared" ref="X54" si="395">ROUND(F54/O54,3)</f>
        <v>16.064</v>
      </c>
      <c r="Y54" s="9">
        <f t="shared" ref="Y54" si="396">ROUND(G54/P54,3)</f>
        <v>45.4</v>
      </c>
      <c r="Z54" s="9">
        <f t="shared" ref="Z54" si="397">ROUND(H54/Q54,3)</f>
        <v>21.332999999999998</v>
      </c>
      <c r="AA54" s="10">
        <f t="shared" ref="AA54" si="398">ROUND(I54/R54,3)</f>
        <v>31.4</v>
      </c>
    </row>
    <row r="55" spans="1:28" ht="14.25" customHeight="1" x14ac:dyDescent="0.2">
      <c r="A55" s="12" t="s">
        <v>63</v>
      </c>
      <c r="B55" s="2">
        <f t="shared" ref="B55:B56" si="399">D$2/D55</f>
        <v>45.62794918330308</v>
      </c>
      <c r="C55" s="2">
        <f t="shared" ref="C55:C56" si="400">D54/D55</f>
        <v>1.3611615245009074</v>
      </c>
      <c r="D55" s="6">
        <f t="shared" ref="D55:D56" si="401">SUM(F55:H55)</f>
        <v>11.02</v>
      </c>
      <c r="E55" s="9">
        <v>0.39</v>
      </c>
      <c r="F55" s="9">
        <v>7.43</v>
      </c>
      <c r="G55" s="13">
        <v>3.33</v>
      </c>
      <c r="H55" s="13">
        <v>0.26</v>
      </c>
      <c r="I55" s="14">
        <v>2.76</v>
      </c>
      <c r="J55" s="12" t="s">
        <v>63</v>
      </c>
      <c r="K55" s="2">
        <f t="shared" ref="K55:K56" si="402">M$2/M55</f>
        <v>64.169230769230751</v>
      </c>
      <c r="L55" s="2">
        <f t="shared" ref="L55:L56" si="403">M54/M55</f>
        <v>1</v>
      </c>
      <c r="M55" s="6">
        <f t="shared" ref="M55:M56" si="404">SUM(O55:Q55)</f>
        <v>0.65</v>
      </c>
      <c r="N55" s="9">
        <v>7.0000000000000007E-2</v>
      </c>
      <c r="O55" s="9">
        <v>0.47</v>
      </c>
      <c r="P55" s="13">
        <v>0.15</v>
      </c>
      <c r="Q55" s="13">
        <v>0.03</v>
      </c>
      <c r="R55" s="14">
        <v>0.15</v>
      </c>
      <c r="S55" s="12" t="s">
        <v>63</v>
      </c>
      <c r="T55" s="2">
        <f t="shared" ref="T55" si="405">ROUND(B55/K55,3)</f>
        <v>0.71099999999999997</v>
      </c>
      <c r="U55" s="2">
        <f t="shared" ref="U55" si="406">ROUND(C55/L55,3)</f>
        <v>1.361</v>
      </c>
      <c r="V55" s="6">
        <f t="shared" ref="V55" si="407">ROUND(D55/M55,3)</f>
        <v>16.954000000000001</v>
      </c>
      <c r="W55" s="9">
        <f t="shared" ref="W55" si="408">ROUND(E55/N55,3)</f>
        <v>5.5709999999999997</v>
      </c>
      <c r="X55" s="9">
        <f t="shared" ref="X55" si="409">ROUND(F55/O55,3)</f>
        <v>15.808999999999999</v>
      </c>
      <c r="Y55" s="13">
        <f t="shared" ref="Y55" si="410">ROUND(G55/P55,3)</f>
        <v>22.2</v>
      </c>
      <c r="Z55" s="13">
        <f t="shared" ref="Z55" si="411">ROUND(H55/Q55,3)</f>
        <v>8.6669999999999998</v>
      </c>
      <c r="AA55" s="14">
        <f t="shared" ref="AA55" si="412">ROUND(I55/R55,3)</f>
        <v>18.399999999999999</v>
      </c>
    </row>
    <row r="56" spans="1:28" s="18" customFormat="1" ht="14.25" customHeight="1" x14ac:dyDescent="0.2">
      <c r="A56" s="20" t="s">
        <v>64</v>
      </c>
      <c r="B56" s="5">
        <f t="shared" si="399"/>
        <v>46.385608856088552</v>
      </c>
      <c r="C56" s="5">
        <f t="shared" si="400"/>
        <v>1.0166051660516604</v>
      </c>
      <c r="D56" s="4">
        <f t="shared" si="401"/>
        <v>10.84</v>
      </c>
      <c r="E56" s="13">
        <v>0.39</v>
      </c>
      <c r="F56" s="18">
        <v>7.26</v>
      </c>
      <c r="G56" s="18">
        <v>3.34</v>
      </c>
      <c r="H56" s="13">
        <v>0.24</v>
      </c>
      <c r="I56" s="19">
        <v>2.77</v>
      </c>
      <c r="J56" s="20" t="s">
        <v>64</v>
      </c>
      <c r="K56" s="5">
        <f t="shared" si="402"/>
        <v>65.171874999999986</v>
      </c>
      <c r="L56" s="5">
        <f t="shared" si="403"/>
        <v>1.015625</v>
      </c>
      <c r="M56" s="4">
        <f t="shared" si="404"/>
        <v>0.64</v>
      </c>
      <c r="N56" s="13">
        <v>7.0000000000000007E-2</v>
      </c>
      <c r="O56" s="18">
        <v>0.47</v>
      </c>
      <c r="P56" s="18">
        <v>0.15</v>
      </c>
      <c r="Q56" s="13">
        <v>0.02</v>
      </c>
      <c r="R56" s="19">
        <v>0.15</v>
      </c>
      <c r="S56" s="20" t="s">
        <v>64</v>
      </c>
      <c r="T56" s="5">
        <f t="shared" ref="T56" si="413">ROUND(B56/K56,3)</f>
        <v>0.71199999999999997</v>
      </c>
      <c r="U56" s="5">
        <f t="shared" ref="U56" si="414">ROUND(C56/L56,3)</f>
        <v>1.0009999999999999</v>
      </c>
      <c r="V56" s="4">
        <f t="shared" ref="V56" si="415">ROUND(D56/M56,3)</f>
        <v>16.937999999999999</v>
      </c>
      <c r="W56" s="13">
        <f t="shared" ref="W56" si="416">ROUND(E56/N56,3)</f>
        <v>5.5709999999999997</v>
      </c>
      <c r="X56" s="18">
        <f t="shared" ref="X56" si="417">ROUND(F56/O56,3)</f>
        <v>15.446999999999999</v>
      </c>
      <c r="Y56" s="18">
        <f t="shared" ref="Y56" si="418">ROUND(G56/P56,3)</f>
        <v>22.266999999999999</v>
      </c>
      <c r="Z56" s="13">
        <f t="shared" ref="Z56" si="419">ROUND(H56/Q56,3)</f>
        <v>12</v>
      </c>
      <c r="AA56" s="19">
        <f t="shared" ref="AA56" si="420">ROUND(I56/R56,3)</f>
        <v>18.466999999999999</v>
      </c>
      <c r="AB56" s="20"/>
    </row>
    <row r="57" spans="1:28" ht="14.25" customHeight="1" x14ac:dyDescent="0.2">
      <c r="A57" s="12" t="s">
        <v>65</v>
      </c>
      <c r="B57" s="2">
        <f t="shared" ref="B57:B58" si="421">D$2/D57</f>
        <v>49.982107355864805</v>
      </c>
      <c r="C57" s="2">
        <f t="shared" ref="C57:C58" si="422">D56/D57</f>
        <v>1.0775347912524851</v>
      </c>
      <c r="D57" s="6">
        <f t="shared" ref="D57:D58" si="423">SUM(F57:H57)</f>
        <v>10.06</v>
      </c>
      <c r="E57" s="9">
        <v>0.39</v>
      </c>
      <c r="F57" s="13">
        <v>6.64</v>
      </c>
      <c r="G57" s="13">
        <v>3.19</v>
      </c>
      <c r="H57" s="13">
        <v>0.23</v>
      </c>
      <c r="I57" s="14">
        <v>2.62</v>
      </c>
      <c r="J57" s="12" t="s">
        <v>65</v>
      </c>
      <c r="K57" s="2">
        <f t="shared" ref="K57:K58" si="424">M$2/M57</f>
        <v>65.171874999999986</v>
      </c>
      <c r="L57" s="2">
        <f t="shared" ref="L57:L58" si="425">M56/M57</f>
        <v>1</v>
      </c>
      <c r="M57" s="6">
        <f t="shared" ref="M57:M58" si="426">SUM(O57:Q57)</f>
        <v>0.64</v>
      </c>
      <c r="N57" s="9">
        <v>0.06</v>
      </c>
      <c r="O57" s="13">
        <v>0.47</v>
      </c>
      <c r="P57" s="13">
        <v>0.15</v>
      </c>
      <c r="Q57" s="13">
        <v>0.02</v>
      </c>
      <c r="R57" s="14">
        <v>0.15</v>
      </c>
      <c r="S57" s="12" t="s">
        <v>65</v>
      </c>
      <c r="T57" s="2">
        <f t="shared" ref="T57:T58" si="427">ROUND(B57/K57,3)</f>
        <v>0.76700000000000002</v>
      </c>
      <c r="U57" s="2">
        <f t="shared" ref="U57:U58" si="428">ROUND(C57/L57,3)</f>
        <v>1.0780000000000001</v>
      </c>
      <c r="V57" s="6">
        <f t="shared" ref="V57:V58" si="429">ROUND(D57/M57,3)</f>
        <v>15.718999999999999</v>
      </c>
      <c r="W57" s="9">
        <f t="shared" ref="W57:W58" si="430">ROUND(E57/N57,3)</f>
        <v>6.5</v>
      </c>
      <c r="X57" s="13">
        <f t="shared" ref="X57:X58" si="431">ROUND(F57/O57,3)</f>
        <v>14.128</v>
      </c>
      <c r="Y57" s="13">
        <f t="shared" ref="Y57:Y58" si="432">ROUND(G57/P57,3)</f>
        <v>21.266999999999999</v>
      </c>
      <c r="Z57" s="13">
        <f t="shared" ref="Z57:Z58" si="433">ROUND(H57/Q57,3)</f>
        <v>11.5</v>
      </c>
      <c r="AA57" s="14">
        <f t="shared" ref="AA57:AA58" si="434">ROUND(I57/R57,3)</f>
        <v>17.466999999999999</v>
      </c>
    </row>
    <row r="58" spans="1:28" ht="14.25" customHeight="1" x14ac:dyDescent="0.2">
      <c r="A58" s="12" t="s">
        <v>66</v>
      </c>
      <c r="B58" s="2">
        <f t="shared" si="421"/>
        <v>51.624229979466108</v>
      </c>
      <c r="C58" s="2">
        <f t="shared" si="422"/>
        <v>1.0328542094455853</v>
      </c>
      <c r="D58" s="6">
        <f t="shared" si="423"/>
        <v>9.74</v>
      </c>
      <c r="E58" s="9">
        <v>0.39</v>
      </c>
      <c r="F58" s="13">
        <v>6.51</v>
      </c>
      <c r="G58" s="13">
        <v>3.01</v>
      </c>
      <c r="H58" s="9">
        <v>0.22</v>
      </c>
      <c r="I58" s="14">
        <v>2.4500000000000002</v>
      </c>
      <c r="J58" s="12" t="s">
        <v>66</v>
      </c>
      <c r="K58" s="2">
        <f t="shared" si="424"/>
        <v>65.171874999999986</v>
      </c>
      <c r="L58" s="2">
        <f t="shared" si="425"/>
        <v>1</v>
      </c>
      <c r="M58" s="6">
        <f t="shared" si="426"/>
        <v>0.64</v>
      </c>
      <c r="N58" s="9">
        <v>0.06</v>
      </c>
      <c r="O58" s="13">
        <v>0.47</v>
      </c>
      <c r="P58" s="13">
        <v>0.15</v>
      </c>
      <c r="Q58" s="9">
        <v>0.02</v>
      </c>
      <c r="R58" s="14">
        <v>0.14000000000000001</v>
      </c>
      <c r="S58" s="12" t="s">
        <v>66</v>
      </c>
      <c r="T58" s="2">
        <f t="shared" si="427"/>
        <v>0.79200000000000004</v>
      </c>
      <c r="U58" s="2">
        <f t="shared" si="428"/>
        <v>1.0329999999999999</v>
      </c>
      <c r="V58" s="6">
        <f t="shared" si="429"/>
        <v>15.218999999999999</v>
      </c>
      <c r="W58" s="9">
        <f t="shared" si="430"/>
        <v>6.5</v>
      </c>
      <c r="X58" s="13">
        <f t="shared" si="431"/>
        <v>13.851000000000001</v>
      </c>
      <c r="Y58" s="13">
        <f t="shared" si="432"/>
        <v>20.067</v>
      </c>
      <c r="Z58" s="9">
        <f t="shared" si="433"/>
        <v>11</v>
      </c>
      <c r="AA58" s="14">
        <f t="shared" si="434"/>
        <v>17.5</v>
      </c>
    </row>
    <row r="59" spans="1:28" ht="14.25" customHeight="1" x14ac:dyDescent="0.2">
      <c r="A59" s="12" t="s">
        <v>67</v>
      </c>
      <c r="B59" s="2">
        <f t="shared" ref="B59" si="435">D$2/D59</f>
        <v>55.01312910284463</v>
      </c>
      <c r="C59" s="2">
        <f t="shared" ref="C59" si="436">D58/D59</f>
        <v>1.0656455142231946</v>
      </c>
      <c r="D59" s="6">
        <f t="shared" ref="D59" si="437">SUM(F59:H59)</f>
        <v>9.14</v>
      </c>
      <c r="E59" s="9">
        <v>0.4</v>
      </c>
      <c r="F59" s="13">
        <v>6.24</v>
      </c>
      <c r="G59" s="13">
        <v>2.67</v>
      </c>
      <c r="H59" s="9">
        <v>0.23</v>
      </c>
      <c r="I59" s="14">
        <v>2.09</v>
      </c>
      <c r="J59" s="12" t="s">
        <v>67</v>
      </c>
      <c r="K59" s="2">
        <f t="shared" ref="K59" si="438">M$2/M59</f>
        <v>67.274193548387075</v>
      </c>
      <c r="L59" s="2">
        <f t="shared" ref="L59" si="439">M58/M59</f>
        <v>1.0322580645161288</v>
      </c>
      <c r="M59" s="6">
        <f t="shared" ref="M59" si="440">SUM(O59:Q59)</f>
        <v>0.62000000000000011</v>
      </c>
      <c r="N59" s="9">
        <v>0.06</v>
      </c>
      <c r="O59" s="13">
        <v>0.46</v>
      </c>
      <c r="P59" s="13">
        <v>0.14000000000000001</v>
      </c>
      <c r="Q59" s="9">
        <v>0.02</v>
      </c>
      <c r="R59" s="14">
        <v>0.14000000000000001</v>
      </c>
      <c r="S59" s="12" t="s">
        <v>67</v>
      </c>
      <c r="T59" s="2">
        <f t="shared" ref="T59" si="441">ROUND(B59/K59,3)</f>
        <v>0.81799999999999995</v>
      </c>
      <c r="U59" s="2">
        <f t="shared" ref="U59" si="442">ROUND(C59/L59,3)</f>
        <v>1.032</v>
      </c>
      <c r="V59" s="6">
        <f t="shared" ref="V59" si="443">ROUND(D59/M59,3)</f>
        <v>14.742000000000001</v>
      </c>
      <c r="W59" s="9">
        <f t="shared" ref="W59" si="444">ROUND(E59/N59,3)</f>
        <v>6.6669999999999998</v>
      </c>
      <c r="X59" s="13">
        <f t="shared" ref="X59" si="445">ROUND(F59/O59,3)</f>
        <v>13.565</v>
      </c>
      <c r="Y59" s="13">
        <f t="shared" ref="Y59" si="446">ROUND(G59/P59,3)</f>
        <v>19.071000000000002</v>
      </c>
      <c r="Z59" s="9">
        <f t="shared" ref="Z59" si="447">ROUND(H59/Q59,3)</f>
        <v>11.5</v>
      </c>
      <c r="AA59" s="14">
        <f t="shared" ref="AA59" si="448">ROUND(I59/R59,3)</f>
        <v>14.929</v>
      </c>
    </row>
    <row r="60" spans="1:28" s="18" customFormat="1" ht="14.25" customHeight="1" x14ac:dyDescent="0.2">
      <c r="A60" s="20" t="s">
        <v>68</v>
      </c>
      <c r="B60" s="5">
        <f t="shared" ref="B60" si="449">D$2/D60</f>
        <v>56.751693002257319</v>
      </c>
      <c r="C60" s="5">
        <f t="shared" ref="C60" si="450">D59/D60</f>
        <v>1.0316027088036117</v>
      </c>
      <c r="D60" s="4">
        <f t="shared" ref="D60" si="451">SUM(F60:H60)</f>
        <v>8.8600000000000012</v>
      </c>
      <c r="E60" s="18">
        <v>0.41</v>
      </c>
      <c r="F60" s="18">
        <v>6.03</v>
      </c>
      <c r="G60" s="18">
        <v>2.6</v>
      </c>
      <c r="H60" s="18">
        <v>0.23</v>
      </c>
      <c r="I60" s="19">
        <v>2.0299999999999998</v>
      </c>
      <c r="J60" s="20" t="s">
        <v>68</v>
      </c>
      <c r="K60" s="5">
        <f t="shared" ref="K60" si="452">M$2/M60</f>
        <v>68.377049180327845</v>
      </c>
      <c r="L60" s="5">
        <f t="shared" ref="L60" si="453">M59/M60</f>
        <v>1.0163934426229508</v>
      </c>
      <c r="M60" s="4">
        <f t="shared" ref="M60" si="454">SUM(O60:Q60)</f>
        <v>0.6100000000000001</v>
      </c>
      <c r="N60" s="18">
        <v>0.06</v>
      </c>
      <c r="O60" s="18">
        <v>0.45</v>
      </c>
      <c r="P60" s="18">
        <v>0.14000000000000001</v>
      </c>
      <c r="Q60" s="18">
        <v>0.02</v>
      </c>
      <c r="R60" s="19">
        <v>0.13</v>
      </c>
      <c r="S60" s="20" t="s">
        <v>68</v>
      </c>
      <c r="T60" s="5">
        <f t="shared" ref="T60" si="455">ROUND(B60/K60,3)</f>
        <v>0.83</v>
      </c>
      <c r="U60" s="5">
        <f t="shared" ref="U60" si="456">ROUND(C60/L60,3)</f>
        <v>1.0149999999999999</v>
      </c>
      <c r="V60" s="4">
        <f t="shared" ref="V60" si="457">ROUND(D60/M60,3)</f>
        <v>14.525</v>
      </c>
      <c r="W60" s="18">
        <f t="shared" ref="W60" si="458">ROUND(E60/N60,3)</f>
        <v>6.8330000000000002</v>
      </c>
      <c r="X60" s="18">
        <f t="shared" ref="X60" si="459">ROUND(F60/O60,3)</f>
        <v>13.4</v>
      </c>
      <c r="Y60" s="18">
        <f t="shared" ref="Y60" si="460">ROUND(G60/P60,3)</f>
        <v>18.571000000000002</v>
      </c>
      <c r="Z60" s="18">
        <f t="shared" ref="Z60" si="461">ROUND(H60/Q60,3)</f>
        <v>11.5</v>
      </c>
      <c r="AA60" s="19">
        <f t="shared" ref="AA60" si="462">ROUND(I60/R60,3)</f>
        <v>15.615</v>
      </c>
      <c r="AB60" s="20"/>
    </row>
    <row r="61" spans="1:28" ht="14.25" customHeight="1" x14ac:dyDescent="0.2">
      <c r="A61" s="20" t="s">
        <v>69</v>
      </c>
      <c r="B61" s="5">
        <f t="shared" ref="B61" si="463">D$2/D61</f>
        <v>57.995386389850054</v>
      </c>
      <c r="C61" s="5">
        <f t="shared" ref="C61" si="464">D60/D61</f>
        <v>1.0219146482122261</v>
      </c>
      <c r="D61" s="4">
        <f t="shared" ref="D61" si="465">SUM(F61:H61)</f>
        <v>8.67</v>
      </c>
      <c r="E61" s="9">
        <v>0.47</v>
      </c>
      <c r="F61" s="13">
        <v>5.84</v>
      </c>
      <c r="G61" s="9">
        <v>2.6</v>
      </c>
      <c r="H61" s="18">
        <v>0.23</v>
      </c>
      <c r="I61" s="10">
        <v>2.0299999999999998</v>
      </c>
      <c r="J61" s="20" t="s">
        <v>69</v>
      </c>
      <c r="K61" s="5">
        <f t="shared" ref="K61" si="466">M$2/M61</f>
        <v>68.377049180327845</v>
      </c>
      <c r="L61" s="5">
        <f t="shared" ref="L61" si="467">M60/M61</f>
        <v>1</v>
      </c>
      <c r="M61" s="4">
        <f t="shared" ref="M61" si="468">SUM(O61:Q61)</f>
        <v>0.6100000000000001</v>
      </c>
      <c r="N61" s="9">
        <v>7.0000000000000007E-2</v>
      </c>
      <c r="O61" s="13">
        <v>0.45</v>
      </c>
      <c r="P61" s="9">
        <v>0.14000000000000001</v>
      </c>
      <c r="Q61" s="13">
        <v>0.02</v>
      </c>
      <c r="R61" s="10">
        <v>0.13</v>
      </c>
      <c r="S61" s="20" t="s">
        <v>69</v>
      </c>
      <c r="T61" s="5">
        <f t="shared" ref="T61" si="469">ROUND(B61/K61,3)</f>
        <v>0.84799999999999998</v>
      </c>
      <c r="U61" s="5">
        <f t="shared" ref="U61" si="470">ROUND(C61/L61,3)</f>
        <v>1.022</v>
      </c>
      <c r="V61" s="4">
        <f t="shared" ref="V61" si="471">ROUND(D61/M61,3)</f>
        <v>14.212999999999999</v>
      </c>
      <c r="W61" s="9">
        <f t="shared" ref="W61" si="472">ROUND(E61/N61,3)</f>
        <v>6.7140000000000004</v>
      </c>
      <c r="X61" s="13">
        <f t="shared" ref="X61" si="473">ROUND(F61/O61,3)</f>
        <v>12.978</v>
      </c>
      <c r="Y61" s="9">
        <f t="shared" ref="Y61" si="474">ROUND(G61/P61,3)</f>
        <v>18.571000000000002</v>
      </c>
      <c r="Z61" s="18">
        <f t="shared" ref="Z61" si="475">ROUND(H61/Q61,3)</f>
        <v>11.5</v>
      </c>
      <c r="AA61" s="10">
        <f t="shared" ref="AA61" si="476">ROUND(I61/R61,3)</f>
        <v>15.615</v>
      </c>
    </row>
    <row r="62" spans="1:28" ht="14.25" customHeight="1" x14ac:dyDescent="0.2">
      <c r="A62" s="20" t="s">
        <v>70</v>
      </c>
      <c r="B62" s="5">
        <f t="shared" ref="B62" si="477">D$2/D62</f>
        <v>58.878220140515211</v>
      </c>
      <c r="C62" s="5">
        <f t="shared" ref="C62" si="478">D61/D62</f>
        <v>1.0152224824355971</v>
      </c>
      <c r="D62" s="4">
        <f t="shared" ref="D62" si="479">SUM(F62:H62)</f>
        <v>8.5400000000000009</v>
      </c>
      <c r="E62" s="9">
        <v>0.39</v>
      </c>
      <c r="F62" s="13">
        <v>5.7</v>
      </c>
      <c r="G62" s="9">
        <v>2.61</v>
      </c>
      <c r="H62" s="9">
        <v>0.23</v>
      </c>
      <c r="I62" s="10">
        <v>2.0299999999999998</v>
      </c>
      <c r="J62" s="20" t="s">
        <v>70</v>
      </c>
      <c r="K62" s="5">
        <f t="shared" ref="K62" si="480">M$2/M62</f>
        <v>68.377049180327845</v>
      </c>
      <c r="L62" s="5">
        <f t="shared" ref="L62" si="481">M61/M62</f>
        <v>1</v>
      </c>
      <c r="M62" s="4">
        <f t="shared" ref="M62" si="482">SUM(O62:Q62)</f>
        <v>0.6100000000000001</v>
      </c>
      <c r="N62" s="9">
        <v>0.08</v>
      </c>
      <c r="O62" s="13">
        <v>0.45</v>
      </c>
      <c r="P62" s="9">
        <v>0.14000000000000001</v>
      </c>
      <c r="Q62" s="9">
        <v>0.02</v>
      </c>
      <c r="R62" s="10">
        <v>0.13</v>
      </c>
      <c r="S62" s="20" t="s">
        <v>70</v>
      </c>
      <c r="T62" s="5">
        <f t="shared" ref="T62" si="483">ROUND(B62/K62,3)</f>
        <v>0.86099999999999999</v>
      </c>
      <c r="U62" s="5">
        <f t="shared" ref="U62" si="484">ROUND(C62/L62,3)</f>
        <v>1.0149999999999999</v>
      </c>
      <c r="V62" s="4">
        <f t="shared" ref="V62" si="485">ROUND(D62/M62,3)</f>
        <v>14</v>
      </c>
      <c r="W62" s="9">
        <f t="shared" ref="W62" si="486">ROUND(E62/N62,3)</f>
        <v>4.875</v>
      </c>
      <c r="X62" s="13">
        <f t="shared" ref="X62" si="487">ROUND(F62/O62,3)</f>
        <v>12.667</v>
      </c>
      <c r="Y62" s="9">
        <f t="shared" ref="Y62" si="488">ROUND(G62/P62,3)</f>
        <v>18.643000000000001</v>
      </c>
      <c r="Z62" s="18">
        <f t="shared" ref="Z62" si="489">ROUND(H62/Q62,3)</f>
        <v>11.5</v>
      </c>
      <c r="AA62" s="10">
        <f t="shared" ref="AA62" si="490">ROUND(I62/R62,3)</f>
        <v>15.615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2026-09-14T13:57:14Z</dcterms:modified>
</cp:coreProperties>
</file>