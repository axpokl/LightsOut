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8394354F-CAEF-4198-ADCC-2B7FE7005493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8" i="2" l="1"/>
  <c r="B58" i="2" s="1"/>
  <c r="D57" i="2"/>
  <c r="C58" i="2" s="1"/>
  <c r="C57" i="2"/>
  <c r="B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L58" i="2" s="1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57" i="2" l="1"/>
  <c r="V58" i="2"/>
  <c r="V57" i="2"/>
  <c r="T57" i="2"/>
  <c r="U58" i="2"/>
  <c r="T58" i="2"/>
  <c r="L57" i="2"/>
  <c r="U57" i="2" s="1"/>
  <c r="L56" i="2"/>
  <c r="C56" i="2"/>
  <c r="U56" i="2"/>
  <c r="V56" i="2"/>
  <c r="K56" i="2"/>
  <c r="B56" i="2"/>
  <c r="L55" i="2"/>
  <c r="C55" i="2"/>
  <c r="U55" i="2"/>
  <c r="V55" i="2"/>
  <c r="K55" i="2"/>
  <c r="B55" i="2"/>
  <c r="L52" i="2"/>
  <c r="V54" i="2"/>
  <c r="L54" i="2"/>
  <c r="V53" i="2"/>
  <c r="C53" i="2"/>
  <c r="K54" i="2"/>
  <c r="L53" i="2"/>
  <c r="C54" i="2"/>
  <c r="U54" i="2" s="1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54" i="2" l="1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<sst xmlns="http://schemas.openxmlformats.org/spreadsheetml/2006/main" count="198" uniqueCount="69">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</sst>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58"/>
  <sheetViews>
    <sheetView tabSelected="1" topLeftCell="A25" workbookViewId="0">
      <selection activeCell="T57" sqref="T57:AA58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18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56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57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57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9">
        <v>0.5</v>
      </c>
      <c r="P48" s="13">
        <v>0.25</v>
      </c>
      <c r="Q48" s="9">
        <v>0.03</v>
      </c>
      <c r="R48" s="14">
        <v>0.25</v>
      </c>
      <c r="S48" s="12" t="s">
        <v>57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9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58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58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58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18">
        <f t="shared" ref="X49" si="342">ROUND(F49/O49,3)</f>
        <v>17.2</v>
      </c>
      <c r="Y49" s="18">
        <f t="shared" ref="Y49" si="343">ROUND(G49/P49,3)</f>
        <v>37.75</v>
      </c>
      <c r="Z49" s="18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59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59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59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18">
        <f t="shared" ref="W50" si="355">ROUND(E50/N50,3)</f>
        <v>9.1430000000000007</v>
      </c>
      <c r="X50" s="13">
        <f t="shared" ref="X50" si="356">ROUND(F50/O50,3)</f>
        <v>16.510999999999999</v>
      </c>
      <c r="Y50" s="18">
        <f t="shared" ref="Y50" si="357">ROUND(G50/P50,3)</f>
        <v>37.832999999999998</v>
      </c>
      <c r="Z50" s="18">
        <f t="shared" ref="Z50" si="358">ROUND(H50/Q50,3)</f>
        <v>21.332999999999998</v>
      </c>
      <c r="AA50" s="19">
        <f t="shared" ref="AA50" si="359">ROUND(I50/R50,3)</f>
        <v>28.957999999999998</v>
      </c>
    </row>
    <row r="51" spans="1:28" ht="14.25" customHeight="1" x14ac:dyDescent="0.2">
      <c r="A51" s="12" t="s">
        <v>60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60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60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61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61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61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18">
        <f t="shared" ref="W52:W53" si="380">ROUND(E52/N52,3)</f>
        <v>9</v>
      </c>
      <c r="X52" s="18">
        <f t="shared" ref="X52:X53" si="381">ROUND(F52/O52,3)</f>
        <v>16.638000000000002</v>
      </c>
      <c r="Y52" s="18">
        <f t="shared" ref="Y52:Y53" si="382">ROUND(G52/P52,3)</f>
        <v>41.353000000000002</v>
      </c>
      <c r="Z52" s="18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62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62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62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18">
        <f t="shared" si="380"/>
        <v>9.5709999999999997</v>
      </c>
      <c r="X53" s="18">
        <f t="shared" si="381"/>
        <v>16.553000000000001</v>
      </c>
      <c r="Y53" s="13">
        <f t="shared" si="382"/>
        <v>44.533000000000001</v>
      </c>
      <c r="Z53" s="18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63</v>
      </c>
      <c r="B54" s="5">
        <f t="shared" ref="B54" si="385">D$2/D54</f>
        <v>33.34350132625994</v>
      </c>
      <c r="C54" s="5">
        <f t="shared" ref="C54" si="386">D53/D54</f>
        <v>1.0033156498673741</v>
      </c>
      <c r="D54" s="4">
        <f t="shared" ref="D54" si="387">SUM(F54:H54)</f>
        <v>15.08</v>
      </c>
      <c r="E54" s="13">
        <v>0.4</v>
      </c>
      <c r="F54" s="9">
        <v>7.61</v>
      </c>
      <c r="G54" s="9">
        <v>6.81</v>
      </c>
      <c r="H54" s="9">
        <v>0.66</v>
      </c>
      <c r="I54" s="10">
        <v>4.75</v>
      </c>
      <c r="J54" s="12" t="s">
        <v>64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63</v>
      </c>
      <c r="T54" s="5">
        <f t="shared" ref="T54" si="391">ROUND(B54/K54,3)</f>
        <v>0.52</v>
      </c>
      <c r="U54" s="5">
        <f t="shared" ref="U54" si="392">ROUND(C54/L54,3)</f>
        <v>1.0029999999999999</v>
      </c>
      <c r="V54" s="4">
        <f t="shared" ref="V54" si="393">ROUND(D54/M54,3)</f>
        <v>23.2</v>
      </c>
      <c r="W54" s="13">
        <f t="shared" ref="W54" si="394">ROUND(E54/N54,3)</f>
        <v>6.6669999999999998</v>
      </c>
      <c r="X54" s="18">
        <f t="shared" ref="X54" si="395">ROUND(F54/O54,3)</f>
        <v>16.190999999999999</v>
      </c>
      <c r="Y54" s="18">
        <f t="shared" ref="Y54" si="396">ROUND(G54/P54,3)</f>
        <v>45.4</v>
      </c>
      <c r="Z54" s="18">
        <f t="shared" ref="Z54" si="397">ROUND(H54/Q54,3)</f>
        <v>22</v>
      </c>
      <c r="AA54" s="19">
        <f t="shared" ref="AA54" si="398">ROUND(I54/R54,3)</f>
        <v>31.667000000000002</v>
      </c>
    </row>
    <row r="55" spans="1:28" ht="14.25" customHeight="1" x14ac:dyDescent="0.2">
      <c r="A55" s="12" t="s">
        <v>65</v>
      </c>
      <c r="B55" s="2">
        <f t="shared" ref="B55:B56" si="399">D$2/D55</f>
        <v>45.79417122040072</v>
      </c>
      <c r="C55" s="2">
        <f t="shared" ref="C55:C56" si="400">D54/D55</f>
        <v>1.3734061930783241</v>
      </c>
      <c r="D55" s="6">
        <f t="shared" ref="D55:D56" si="401">SUM(F55:H55)</f>
        <v>10.98</v>
      </c>
      <c r="E55" s="9">
        <v>0.4</v>
      </c>
      <c r="F55" s="9">
        <v>7.4</v>
      </c>
      <c r="G55" s="13">
        <v>3.33</v>
      </c>
      <c r="H55" s="13">
        <v>0.25</v>
      </c>
      <c r="I55" s="14">
        <v>2.76</v>
      </c>
      <c r="J55" s="12" t="s">
        <v>65</v>
      </c>
      <c r="K55" s="2">
        <f t="shared" ref="K55:K56" si="402">M$2/M55</f>
        <v>63.196969696969681</v>
      </c>
      <c r="L55" s="2">
        <f t="shared" ref="L55:L56" si="403">M54/M55</f>
        <v>0.98484848484848486</v>
      </c>
      <c r="M55" s="6">
        <f t="shared" ref="M55:M56" si="404">SUM(O55:Q55)</f>
        <v>0.66</v>
      </c>
      <c r="N55" s="9">
        <v>7.0000000000000007E-2</v>
      </c>
      <c r="O55" s="9">
        <v>0.47</v>
      </c>
      <c r="P55" s="13">
        <v>0.16</v>
      </c>
      <c r="Q55" s="13">
        <v>0.03</v>
      </c>
      <c r="R55" s="14">
        <v>0.15</v>
      </c>
      <c r="S55" s="12" t="s">
        <v>65</v>
      </c>
      <c r="T55" s="2">
        <f t="shared" ref="T55" si="405">ROUND(B55/K55,3)</f>
        <v>0.72499999999999998</v>
      </c>
      <c r="U55" s="2">
        <f t="shared" ref="U55" si="406">ROUND(C55/L55,3)</f>
        <v>1.395</v>
      </c>
      <c r="V55" s="6">
        <f t="shared" ref="V55" si="407">ROUND(D55/M55,3)</f>
        <v>16.635999999999999</v>
      </c>
      <c r="W55" s="9">
        <f t="shared" ref="W55" si="408">ROUND(E55/N55,3)</f>
        <v>5.7140000000000004</v>
      </c>
      <c r="X55" s="9">
        <f t="shared" ref="X55" si="409">ROUND(F55/O55,3)</f>
        <v>15.744999999999999</v>
      </c>
      <c r="Y55" s="13">
        <f t="shared" ref="Y55" si="410">ROUND(G55/P55,3)</f>
        <v>20.812999999999999</v>
      </c>
      <c r="Z55" s="13">
        <f t="shared" ref="Z55" si="411">ROUND(H55/Q55,3)</f>
        <v>8.3330000000000002</v>
      </c>
      <c r="AA55" s="14">
        <f t="shared" ref="AA55" si="412">ROUND(I55/R55,3)</f>
        <v>18.399999999999999</v>
      </c>
    </row>
    <row r="56" spans="1:28" s="18" customFormat="1" ht="14.25" customHeight="1" x14ac:dyDescent="0.2">
      <c r="A56" s="20" t="s">
        <v>66</v>
      </c>
      <c r="B56" s="5">
        <f t="shared" si="399"/>
        <v>46.514338575393147</v>
      </c>
      <c r="C56" s="5">
        <f t="shared" si="400"/>
        <v>1.0157261794634598</v>
      </c>
      <c r="D56" s="4">
        <f t="shared" si="401"/>
        <v>10.81</v>
      </c>
      <c r="E56" s="13">
        <v>0.39</v>
      </c>
      <c r="F56" s="18">
        <v>7.24</v>
      </c>
      <c r="G56" s="18">
        <v>3.32</v>
      </c>
      <c r="H56" s="13">
        <v>0.25</v>
      </c>
      <c r="I56" s="19">
        <v>2.77</v>
      </c>
      <c r="J56" s="20" t="s">
        <v>66</v>
      </c>
      <c r="K56" s="5">
        <f t="shared" si="402"/>
        <v>63.196969696969681</v>
      </c>
      <c r="L56" s="5">
        <f t="shared" si="403"/>
        <v>1</v>
      </c>
      <c r="M56" s="4">
        <f t="shared" si="404"/>
        <v>0.66</v>
      </c>
      <c r="N56" s="13">
        <v>0.06</v>
      </c>
      <c r="O56" s="18">
        <v>0.48</v>
      </c>
      <c r="P56" s="18">
        <v>0.16</v>
      </c>
      <c r="Q56" s="13">
        <v>0.02</v>
      </c>
      <c r="R56" s="19">
        <v>0.15</v>
      </c>
      <c r="S56" s="20" t="s">
        <v>66</v>
      </c>
      <c r="T56" s="5">
        <f t="shared" ref="T56" si="413">ROUND(B56/K56,3)</f>
        <v>0.73599999999999999</v>
      </c>
      <c r="U56" s="5">
        <f t="shared" ref="U56" si="414">ROUND(C56/L56,3)</f>
        <v>1.016</v>
      </c>
      <c r="V56" s="4">
        <f t="shared" ref="V56" si="415">ROUND(D56/M56,3)</f>
        <v>16.379000000000001</v>
      </c>
      <c r="W56" s="13">
        <f t="shared" ref="W56" si="416">ROUND(E56/N56,3)</f>
        <v>6.5</v>
      </c>
      <c r="X56" s="18">
        <f t="shared" ref="X56" si="417">ROUND(F56/O56,3)</f>
        <v>15.083</v>
      </c>
      <c r="Y56" s="18">
        <f t="shared" ref="Y56" si="418">ROUND(G56/P56,3)</f>
        <v>20.75</v>
      </c>
      <c r="Z56" s="13">
        <f t="shared" ref="Z56" si="419">ROUND(H56/Q56,3)</f>
        <v>12.5</v>
      </c>
      <c r="AA56" s="19">
        <f t="shared" ref="AA56" si="420">ROUND(I56/R56,3)</f>
        <v>18.466999999999999</v>
      </c>
      <c r="AB56" s="20"/>
    </row>
    <row r="57" spans="1:28" ht="14.25" customHeight="1" x14ac:dyDescent="0.2">
      <c r="A57" s="12" t="s">
        <v>67</v>
      </c>
      <c r="B57" s="2">
        <f t="shared" ref="B57:B58" si="421">D$2/D57</f>
        <v>50.031840796019893</v>
      </c>
      <c r="C57" s="2">
        <f t="shared" ref="C57:C58" si="422">D56/D57</f>
        <v>1.0756218905472636</v>
      </c>
      <c r="D57" s="6">
        <f t="shared" ref="D57:D58" si="423">SUM(F57:H57)</f>
        <v>10.050000000000001</v>
      </c>
      <c r="E57" s="9">
        <v>0.39</v>
      </c>
      <c r="F57" s="13">
        <v>6.64</v>
      </c>
      <c r="G57" s="13">
        <v>3.18</v>
      </c>
      <c r="H57" s="13">
        <v>0.23</v>
      </c>
      <c r="I57" s="14">
        <v>2.61</v>
      </c>
      <c r="J57" s="12" t="s">
        <v>67</v>
      </c>
      <c r="K57" s="2">
        <f t="shared" ref="K57:K58" si="424">M$2/M57</f>
        <v>65.171874999999986</v>
      </c>
      <c r="L57" s="2">
        <f t="shared" ref="L57:L58" si="425">M56/M57</f>
        <v>1.03125</v>
      </c>
      <c r="M57" s="6">
        <f t="shared" ref="M57:M58" si="426">SUM(O57:Q57)</f>
        <v>0.64</v>
      </c>
      <c r="N57" s="9">
        <v>0.06</v>
      </c>
      <c r="O57" s="13">
        <v>0.47</v>
      </c>
      <c r="P57" s="13">
        <v>0.15</v>
      </c>
      <c r="Q57" s="13">
        <v>0.02</v>
      </c>
      <c r="R57" s="14">
        <v>0.14000000000000001</v>
      </c>
      <c r="S57" s="12" t="s">
        <v>67</v>
      </c>
      <c r="T57" s="2">
        <f t="shared" ref="T57:T58" si="427">ROUND(B57/K57,3)</f>
        <v>0.76800000000000002</v>
      </c>
      <c r="U57" s="2">
        <f t="shared" ref="U57:U58" si="428">ROUND(C57/L57,3)</f>
        <v>1.0429999999999999</v>
      </c>
      <c r="V57" s="6">
        <f t="shared" ref="V57:V58" si="429">ROUND(D57/M57,3)</f>
        <v>15.702999999999999</v>
      </c>
      <c r="W57" s="9">
        <f t="shared" ref="W57:W58" si="430">ROUND(E57/N57,3)</f>
        <v>6.5</v>
      </c>
      <c r="X57" s="13">
        <f t="shared" ref="X57:X58" si="431">ROUND(F57/O57,3)</f>
        <v>14.128</v>
      </c>
      <c r="Y57" s="13">
        <f t="shared" ref="Y57:Y58" si="432">ROUND(G57/P57,3)</f>
        <v>21.2</v>
      </c>
      <c r="Z57" s="13">
        <f t="shared" ref="Z57:Z58" si="433">ROUND(H57/Q57,3)</f>
        <v>11.5</v>
      </c>
      <c r="AA57" s="14">
        <f t="shared" ref="AA57:AA58" si="434">ROUND(I57/R57,3)</f>
        <v>18.643000000000001</v>
      </c>
    </row>
    <row r="58" spans="1:28" ht="14.25" customHeight="1" x14ac:dyDescent="0.2">
      <c r="A58" s="12" t="s">
        <v>68</v>
      </c>
      <c r="B58" s="2">
        <f t="shared" si="421"/>
        <v>51.571282051282047</v>
      </c>
      <c r="C58" s="2">
        <f t="shared" si="422"/>
        <v>1.0307692307692309</v>
      </c>
      <c r="D58" s="6">
        <f t="shared" si="423"/>
        <v>9.75</v>
      </c>
      <c r="E58" s="9">
        <v>0.39</v>
      </c>
      <c r="F58" s="13">
        <v>6.51</v>
      </c>
      <c r="G58" s="13">
        <v>3.01</v>
      </c>
      <c r="H58" s="9">
        <v>0.23</v>
      </c>
      <c r="I58" s="14">
        <v>2.4500000000000002</v>
      </c>
      <c r="J58" s="12" t="s">
        <v>68</v>
      </c>
      <c r="K58" s="2">
        <f t="shared" si="424"/>
        <v>66.206349206349202</v>
      </c>
      <c r="L58" s="2">
        <f t="shared" si="425"/>
        <v>1.0158730158730158</v>
      </c>
      <c r="M58" s="6">
        <f t="shared" si="426"/>
        <v>0.63</v>
      </c>
      <c r="N58" s="9">
        <v>7.0000000000000007E-2</v>
      </c>
      <c r="O58" s="13">
        <v>0.46</v>
      </c>
      <c r="P58" s="13">
        <v>0.15</v>
      </c>
      <c r="Q58" s="9">
        <v>0.02</v>
      </c>
      <c r="R58" s="14">
        <v>0.14000000000000001</v>
      </c>
      <c r="S58" s="12" t="s">
        <v>68</v>
      </c>
      <c r="T58" s="2">
        <f t="shared" si="427"/>
        <v>0.77900000000000003</v>
      </c>
      <c r="U58" s="2">
        <f t="shared" si="428"/>
        <v>1.0149999999999999</v>
      </c>
      <c r="V58" s="6">
        <f t="shared" si="429"/>
        <v>15.476000000000001</v>
      </c>
      <c r="W58" s="9">
        <f t="shared" si="430"/>
        <v>5.5709999999999997</v>
      </c>
      <c r="X58" s="13">
        <f t="shared" si="431"/>
        <v>14.151999999999999</v>
      </c>
      <c r="Y58" s="13">
        <f t="shared" si="432"/>
        <v>20.067</v>
      </c>
      <c r="Z58" s="9">
        <f t="shared" si="433"/>
        <v>11.5</v>
      </c>
      <c r="AA58" s="14">
        <f t="shared" si="434"/>
        <v>17.5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2026-09-12T11:47:03Z</dcterms:modified>
</cp:coreProperties>
</file>