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C9C79440-FAF8-4A1C-A3F6-503390ADCCFA}" xr6:coauthVersionLast="47" xr6:coauthVersionMax="47" xr10:uidLastSave="{00000000-0000-0000-0000-000000000000}"/>
  <bookViews>
    <workbookView xWindow="4200" yWindow="420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7" i="2" l="1"/>
  <c r="AA78" i="2"/>
  <c r="Z78" i="2"/>
  <c r="Y78" i="2"/>
  <c r="X78" i="2"/>
  <c r="W78" i="2"/>
  <c r="AA77" i="2"/>
  <c r="Z77" i="2"/>
  <c r="Y77" i="2"/>
  <c r="X77" i="2"/>
  <c r="W77" i="2"/>
  <c r="V77" i="2"/>
  <c r="M78" i="2"/>
  <c r="D78" i="2"/>
  <c r="B78" i="2" s="1"/>
  <c r="D77" i="2"/>
  <c r="AA76" i="2"/>
  <c r="Z76" i="2"/>
  <c r="Y76" i="2"/>
  <c r="X76" i="2"/>
  <c r="W76" i="2"/>
  <c r="M76" i="2"/>
  <c r="K76" i="2" s="1"/>
  <c r="D76" i="2"/>
  <c r="AA75" i="2"/>
  <c r="Z75" i="2"/>
  <c r="Y75" i="2"/>
  <c r="X75" i="2"/>
  <c r="W75" i="2"/>
  <c r="M75" i="2"/>
  <c r="D75" i="2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78" i="2" l="1"/>
  <c r="T78" i="2" s="1"/>
  <c r="V78" i="2"/>
  <c r="K77" i="2"/>
  <c r="T77" i="2" s="1"/>
  <c r="L77" i="2"/>
  <c r="U77" i="2" s="1"/>
  <c r="L78" i="2"/>
  <c r="U78" i="2" s="1"/>
  <c r="C78" i="2"/>
  <c r="C77" i="2"/>
  <c r="B77" i="2"/>
  <c r="L76" i="2"/>
  <c r="B69" i="2"/>
  <c r="T69" i="2" s="1"/>
  <c r="C76" i="2"/>
  <c r="U76" i="2" s="1"/>
  <c r="V76" i="2"/>
  <c r="B76" i="2"/>
  <c r="T76" i="2" s="1"/>
  <c r="C75" i="2"/>
  <c r="L75" i="2"/>
  <c r="K75" i="2"/>
  <c r="V75" i="2"/>
  <c r="B75" i="2"/>
  <c r="L74" i="2"/>
  <c r="C74" i="2"/>
  <c r="V74" i="2"/>
  <c r="K74" i="2"/>
  <c r="B74" i="2"/>
  <c r="C73" i="2"/>
  <c r="L73" i="2"/>
  <c r="U73" i="2" s="1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75" i="2" l="1"/>
  <c r="T62" i="2"/>
  <c r="T74" i="2"/>
  <c r="T75" i="2"/>
  <c r="U71" i="2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<sst xmlns="http://schemas.openxmlformats.org/spreadsheetml/2006/main" count="258" uniqueCount="88">
  <si>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</si>
  <si>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</si>
  <si>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</si>
  <si>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</si>
  <si>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</si>
  <si>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</si>
  <si>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</si>
  <si>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</si>
  <si>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</si>
  <si>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</si>
  <si>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</si>
  <si>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</si>
  <si>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</si>
  <si>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</si>
  <si>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</si>
  <si>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</si>
  <si>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</si>
  <si>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</si>
  <si>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</si>
  <si>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</si>
  <si>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</si>
  <si>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</si>
  <si>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</si>
  <si>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</si>
  <si>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</si>
  <si>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</si>
  <si>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</si>
  <si>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</si>
  <si>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</si>
  <si>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</si>
  <si>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</si>
  <si>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</si>
  <si>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</si>
  <si>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</si>
  <si>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</si>
  <si>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</si>
  <si>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</si>
  <si>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</si>
  <si>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</si>
  <si>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</si>
  <si>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</si>
  <si>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</si>
  <si>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</si>
  <si>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</si>
  <si>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</si>
  <si>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</si>
  <si>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</si>
  <si>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</si>
  <si>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</si>
  <si>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</si>
  <si>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</si>
  <si>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</si>
  <si>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</si>
  <si>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</si>
  <si>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</si>
  <si>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</si>
  <si>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</si>
  <si>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</si>
  <si>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</si>
  <si>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</si>
  <si>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</si>
  <si>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</si>
  <si>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</si>
  <si>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</si>
  <si>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</si>
  <si>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</si>
  <si>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</si>
  <si>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</si>
  <si>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</si>
  <si>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</si>
  <si>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</si>
  <si>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</si>
  <si>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</si>
  <si>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</si>
  <si>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</si>
  <si>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</si>
  <si>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</si>
  <si>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</si>
  <si>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</si>
  <si>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</si>
  <si>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</si>
  <si>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</si>
  <si>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</si>
  <si>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</si>
  <si>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</si>
  <si>
    <t>H96</t>
    <phoneticPr fontId="2" type="noConversion"/>
  </si>
  <si>
    <t>H97</t>
    <phoneticPr fontId="2" type="noConversion"/>
  </si>
  <si>
    <t>H98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</si>
</sst>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176" fontId="0" fillId="2" borderId="1" xfId="0" applyNumberFormat="1" applyFill="1" applyBorder="1" applyAlignment="1">
      <alignment horizontal="left" vertical="center"/>
    </xf>
    <xf numFmtId="176" fontId="6" fillId="2" borderId="0" xfId="0" applyNumberFormat="1" applyFont="1" applyFill="1" applyAlignment="1">
      <alignment horizontal="left" vertical="center" wrapText="1"/>
    </xf>
    <xf numFmtId="176" fontId="5" fillId="2" borderId="0" xfId="0" applyNumberFormat="1" applyFont="1" applyFill="1" applyAlignment="1">
      <alignment horizontal="left" vertical="center" wrapText="1"/>
    </xf>
    <xf numFmtId="176" fontId="0" fillId="2" borderId="0" xfId="0" applyNumberFormat="1" applyFill="1" applyAlignment="1">
      <alignment horizontal="left" vertical="center"/>
    </xf>
    <xf numFmtId="176" fontId="1" fillId="2" borderId="0" xfId="0" applyNumberFormat="1" applyFont="1" applyFill="1" applyAlignment="1">
      <alignment horizontal="left" vertical="center"/>
    </xf>
    <xf numFmtId="176" fontId="1" fillId="2" borderId="2" xfId="0" applyNumberFormat="1" applyFont="1" applyFill="1" applyBorder="1" applyAlignment="1">
      <alignment horizontal="left" vertical="center"/>
    </xf>
    <xf numFmtId="176" fontId="7" fillId="2" borderId="0" xfId="0" applyNumberFormat="1" applyFont="1" applyFill="1" applyAlignment="1">
      <alignment horizontal="left" vertical="center" wrapText="1"/>
    </xf>
    <xf numFmtId="176" fontId="4" fillId="2" borderId="0" xfId="0" applyNumberFormat="1" applyFont="1" applyFill="1" applyAlignment="1">
      <alignment horizontal="left" vertical="center" wrapText="1"/>
    </xf>
    <xf numFmtId="176" fontId="0" fillId="2" borderId="2" xfId="0" applyNumberFormat="1" applyFill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76" fontId="3" fillId="2" borderId="2" xfId="0" applyNumberFormat="1" applyFont="1" applyFill="1" applyBorder="1" applyAlignment="1">
      <alignment horizontal="left" vertical="center"/>
    </xf>
    <xf numFmtId="176" fontId="3" fillId="2" borderId="4" xfId="0" applyNumberFormat="1" applyFont="1" applyFill="1" applyBorder="1" applyAlignment="1">
      <alignment horizontal="left" vertical="center" wrapText="1"/>
    </xf>
    <xf numFmtId="176" fontId="1" fillId="2" borderId="0" xfId="0" applyNumberFormat="1" applyFont="1" applyFill="1" applyAlignment="1">
      <alignment horizontal="left" vertical="center" wrapText="1"/>
    </xf>
    <xf numFmtId="176" fontId="3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176" fontId="0" fillId="3" borderId="1" xfId="0" applyNumberFormat="1" applyFill="1" applyBorder="1" applyAlignment="1">
      <alignment horizontal="left" vertical="center"/>
    </xf>
    <xf numFmtId="176" fontId="0" fillId="3" borderId="0" xfId="0" applyNumberFormat="1" applyFill="1" applyAlignment="1">
      <alignment horizontal="left" vertical="center"/>
    </xf>
    <xf numFmtId="176" fontId="3" fillId="0" borderId="1" xfId="0" applyNumberFormat="1" applyFont="1" applyFill="1" applyBorder="1" applyAlignment="1">
      <alignment horizontal="left" vertical="center"/>
    </xf>
    <xf numFmtId="176" fontId="7" fillId="0" borderId="0" xfId="0" applyNumberFormat="1" applyFont="1" applyFill="1" applyAlignment="1">
      <alignment horizontal="left" vertical="center" wrapText="1"/>
    </xf>
    <xf numFmtId="176" fontId="4" fillId="0" borderId="0" xfId="0" applyNumberFormat="1" applyFont="1" applyFill="1" applyAlignment="1">
      <alignment horizontal="left" vertical="center" wrapText="1"/>
    </xf>
    <xf numFmtId="176" fontId="0" fillId="0" borderId="0" xfId="0" applyNumberFormat="1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center" wrapText="1"/>
    </xf>
    <xf numFmtId="176" fontId="5" fillId="0" borderId="0" xfId="0" applyNumberFormat="1" applyFont="1" applyFill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78"/>
  <sheetViews>
    <sheetView tabSelected="1" topLeftCell="A55" workbookViewId="0">
      <selection activeCell="Z78" sqref="Z7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37" t="s">
        <v>26</v>
      </c>
      <c r="B2" s="27">
        <v>1</v>
      </c>
      <c r="C2" s="27">
        <v>1</v>
      </c>
      <c r="D2" s="28">
        <f>SUM(F2:H2)</f>
        <v>502.81999999999994</v>
      </c>
      <c r="E2" s="27">
        <v>369.63</v>
      </c>
      <c r="F2" s="35">
        <v>174.9</v>
      </c>
      <c r="G2" s="35">
        <v>144.88999999999999</v>
      </c>
      <c r="H2" s="35">
        <v>183.03</v>
      </c>
      <c r="I2" s="36">
        <v>293.08999999999997</v>
      </c>
      <c r="J2" s="37" t="s">
        <v>26</v>
      </c>
      <c r="K2" s="27">
        <v>1</v>
      </c>
      <c r="L2" s="27">
        <v>1</v>
      </c>
      <c r="M2" s="28">
        <v>41.709999999999994</v>
      </c>
      <c r="N2" s="27">
        <v>93.96</v>
      </c>
      <c r="O2" s="35">
        <v>6.59</v>
      </c>
      <c r="P2" s="35">
        <v>15.56</v>
      </c>
      <c r="Q2" s="35">
        <v>19.559999999999999</v>
      </c>
      <c r="R2" s="36">
        <v>33.96</v>
      </c>
      <c r="S2" s="37" t="s">
        <v>26</v>
      </c>
      <c r="T2" s="27">
        <f t="shared" ref="T2:T20" si="0">ROUND(B2/K2,3)</f>
        <v>1</v>
      </c>
      <c r="U2" s="27">
        <f t="shared" ref="U2:U20" si="1">ROUND(C2/L2,3)</f>
        <v>1</v>
      </c>
      <c r="V2" s="28">
        <f t="shared" ref="V2:V20" si="2">ROUND(D2/M2,3)</f>
        <v>12.055</v>
      </c>
      <c r="W2" s="27">
        <f t="shared" ref="W2:W20" si="3">ROUND(E2/N2,3)</f>
        <v>3.9340000000000002</v>
      </c>
      <c r="X2" s="35">
        <f t="shared" ref="X2:X20" si="4">ROUND(F2/O2,3)</f>
        <v>26.54</v>
      </c>
      <c r="Y2" s="35">
        <f t="shared" ref="Y2:Y20" si="5">ROUND(G2/P2,3)</f>
        <v>9.3119999999999994</v>
      </c>
      <c r="Z2" s="35">
        <f t="shared" ref="Z2:Z20" si="6">ROUND(H2/Q2,3)</f>
        <v>9.3569999999999993</v>
      </c>
      <c r="AA2" s="36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37" t="s">
        <v>5</v>
      </c>
      <c r="B8" s="27">
        <f t="shared" si="9"/>
        <v>2.1582110052365007</v>
      </c>
      <c r="C8" s="27">
        <f t="shared" si="10"/>
        <v>0.99334706841789</v>
      </c>
      <c r="D8" s="28">
        <f t="shared" si="8"/>
        <v>232.98</v>
      </c>
      <c r="E8" s="27">
        <v>667.66</v>
      </c>
      <c r="F8" s="35">
        <v>98.75</v>
      </c>
      <c r="G8" s="35">
        <v>132.88</v>
      </c>
      <c r="H8" s="35">
        <v>1.35</v>
      </c>
      <c r="I8" s="36">
        <v>114.88</v>
      </c>
      <c r="J8" s="37" t="s">
        <v>5</v>
      </c>
      <c r="K8" s="27">
        <f t="shared" si="11"/>
        <v>3.5895008605851975</v>
      </c>
      <c r="L8" s="27">
        <f t="shared" si="12"/>
        <v>1.0060240963855422</v>
      </c>
      <c r="M8" s="28">
        <f t="shared" si="13"/>
        <v>11.62</v>
      </c>
      <c r="N8" s="27">
        <v>121.4</v>
      </c>
      <c r="O8" s="35">
        <v>4.75</v>
      </c>
      <c r="P8" s="35">
        <v>6.6</v>
      </c>
      <c r="Q8" s="35">
        <v>0.27</v>
      </c>
      <c r="R8" s="36">
        <v>6.02</v>
      </c>
      <c r="S8" s="37" t="s">
        <v>5</v>
      </c>
      <c r="T8" s="27">
        <f t="shared" si="0"/>
        <v>0.60099999999999998</v>
      </c>
      <c r="U8" s="27">
        <f t="shared" si="1"/>
        <v>0.98699999999999999</v>
      </c>
      <c r="V8" s="28">
        <f t="shared" si="2"/>
        <v>20.05</v>
      </c>
      <c r="W8" s="27">
        <f t="shared" si="3"/>
        <v>5.5</v>
      </c>
      <c r="X8" s="35">
        <f t="shared" si="4"/>
        <v>20.789000000000001</v>
      </c>
      <c r="Y8" s="35">
        <f t="shared" si="5"/>
        <v>20.132999999999999</v>
      </c>
      <c r="Z8" s="35">
        <f t="shared" si="6"/>
        <v>5</v>
      </c>
      <c r="AA8" s="36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33" t="s">
        <v>19</v>
      </c>
      <c r="B14" s="27">
        <f t="shared" si="9"/>
        <v>3.3443298969072162</v>
      </c>
      <c r="C14" s="27">
        <f t="shared" si="10"/>
        <v>1.0026604589291652</v>
      </c>
      <c r="D14" s="28">
        <f t="shared" si="8"/>
        <v>150.35</v>
      </c>
      <c r="E14" s="27">
        <v>293.14</v>
      </c>
      <c r="F14" s="34">
        <v>30.84</v>
      </c>
      <c r="G14" s="35">
        <v>118.09</v>
      </c>
      <c r="H14" s="35">
        <v>1.42</v>
      </c>
      <c r="I14" s="36">
        <v>93.68</v>
      </c>
      <c r="J14" s="33" t="s">
        <v>19</v>
      </c>
      <c r="K14" s="27">
        <f t="shared" si="11"/>
        <v>5.3405889884763109</v>
      </c>
      <c r="L14" s="27">
        <f t="shared" si="12"/>
        <v>1.0179257362355951</v>
      </c>
      <c r="M14" s="28">
        <f t="shared" si="13"/>
        <v>7.8100000000000005</v>
      </c>
      <c r="N14" s="27">
        <v>100.03</v>
      </c>
      <c r="O14" s="34">
        <v>1.1299999999999999</v>
      </c>
      <c r="P14" s="35">
        <v>6.41</v>
      </c>
      <c r="Q14" s="35">
        <v>0.27</v>
      </c>
      <c r="R14" s="36">
        <v>5.35</v>
      </c>
      <c r="S14" s="33" t="s">
        <v>19</v>
      </c>
      <c r="T14" s="27">
        <f t="shared" si="0"/>
        <v>0.626</v>
      </c>
      <c r="U14" s="27">
        <f t="shared" si="1"/>
        <v>0.98499999999999999</v>
      </c>
      <c r="V14" s="28">
        <f t="shared" si="2"/>
        <v>19.251000000000001</v>
      </c>
      <c r="W14" s="27">
        <f t="shared" si="3"/>
        <v>2.931</v>
      </c>
      <c r="X14" s="34">
        <f t="shared" si="4"/>
        <v>27.292000000000002</v>
      </c>
      <c r="Y14" s="35">
        <f t="shared" si="5"/>
        <v>18.422999999999998</v>
      </c>
      <c r="Z14" s="35">
        <f t="shared" si="6"/>
        <v>5.2590000000000003</v>
      </c>
      <c r="AA14" s="36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33" t="s">
        <v>24</v>
      </c>
      <c r="B19" s="27">
        <f t="shared" si="9"/>
        <v>4.4446212322107304</v>
      </c>
      <c r="C19" s="27">
        <f t="shared" si="10"/>
        <v>1.0311146468664367</v>
      </c>
      <c r="D19" s="28">
        <f t="shared" si="14"/>
        <v>113.13000000000001</v>
      </c>
      <c r="E19" s="24">
        <v>294.64</v>
      </c>
      <c r="F19" s="24">
        <v>30.59</v>
      </c>
      <c r="G19" s="25">
        <v>81.010000000000005</v>
      </c>
      <c r="H19" s="24">
        <v>1.53</v>
      </c>
      <c r="I19" s="29">
        <v>63.79</v>
      </c>
      <c r="J19" s="33" t="s">
        <v>24</v>
      </c>
      <c r="K19" s="27">
        <f t="shared" si="11"/>
        <v>7.6252285191956117</v>
      </c>
      <c r="L19" s="27">
        <f t="shared" si="12"/>
        <v>1.129798903107861</v>
      </c>
      <c r="M19" s="28">
        <f t="shared" si="13"/>
        <v>5.47</v>
      </c>
      <c r="N19" s="24">
        <v>14.02</v>
      </c>
      <c r="O19" s="24">
        <v>1.18</v>
      </c>
      <c r="P19" s="25">
        <v>4</v>
      </c>
      <c r="Q19" s="24">
        <v>0.28999999999999998</v>
      </c>
      <c r="R19" s="29">
        <v>3.58</v>
      </c>
      <c r="S19" s="33" t="s">
        <v>24</v>
      </c>
      <c r="T19" s="27">
        <f t="shared" si="0"/>
        <v>0.58299999999999996</v>
      </c>
      <c r="U19" s="27">
        <f t="shared" si="1"/>
        <v>0.91300000000000003</v>
      </c>
      <c r="V19" s="28">
        <f t="shared" si="2"/>
        <v>20.681999999999999</v>
      </c>
      <c r="W19" s="24">
        <f t="shared" si="3"/>
        <v>21.015999999999998</v>
      </c>
      <c r="X19" s="24">
        <f t="shared" si="4"/>
        <v>25.923999999999999</v>
      </c>
      <c r="Y19" s="25">
        <f t="shared" si="5"/>
        <v>20.253</v>
      </c>
      <c r="Z19" s="24">
        <f t="shared" si="6"/>
        <v>5.2759999999999998</v>
      </c>
      <c r="AA19" s="29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33" t="s">
        <v>37</v>
      </c>
      <c r="B29" s="22">
        <f t="shared" ref="B29" si="110">D$2/D29</f>
        <v>13.033177812337998</v>
      </c>
      <c r="C29" s="22">
        <f t="shared" ref="C29" si="111">D28/D29</f>
        <v>1.1905132192846035</v>
      </c>
      <c r="D29" s="23">
        <f t="shared" ref="D29" si="112">SUM(F29:H29)</f>
        <v>38.58</v>
      </c>
      <c r="E29" s="24">
        <v>243.45</v>
      </c>
      <c r="F29" s="24">
        <v>24.9</v>
      </c>
      <c r="G29" s="25">
        <v>12.11</v>
      </c>
      <c r="H29" s="24">
        <v>1.57</v>
      </c>
      <c r="I29" s="32">
        <v>15.35</v>
      </c>
      <c r="J29" s="33" t="s">
        <v>37</v>
      </c>
      <c r="K29" s="22">
        <f t="shared" ref="K29:K30" si="113">M$2/M29</f>
        <v>22.792349726775953</v>
      </c>
      <c r="L29" s="22">
        <f t="shared" ref="L29:L30" si="114">M28/M29</f>
        <v>1.1693989071038251</v>
      </c>
      <c r="M29" s="23">
        <f t="shared" ref="M29:M30" si="115">SUM(O29:Q29)</f>
        <v>1.83</v>
      </c>
      <c r="N29" s="24">
        <v>11.6</v>
      </c>
      <c r="O29" s="24">
        <v>0.92</v>
      </c>
      <c r="P29" s="25">
        <v>0.64</v>
      </c>
      <c r="Q29" s="24">
        <v>0.27</v>
      </c>
      <c r="R29" s="32">
        <v>0.76</v>
      </c>
      <c r="S29" s="33" t="s">
        <v>37</v>
      </c>
      <c r="T29" s="22">
        <f t="shared" ref="T29" si="116">ROUND(B29/K29,3)</f>
        <v>0.57199999999999995</v>
      </c>
      <c r="U29" s="22">
        <f t="shared" ref="U29" si="117">ROUND(C29/L29,3)</f>
        <v>1.018</v>
      </c>
      <c r="V29" s="23">
        <f t="shared" ref="V29" si="118">ROUND(D29/M29,3)</f>
        <v>21.082000000000001</v>
      </c>
      <c r="W29" s="24">
        <f t="shared" ref="W29" si="119">ROUND(E29/N29,3)</f>
        <v>20.986999999999998</v>
      </c>
      <c r="X29" s="24">
        <f t="shared" ref="X29" si="120">ROUND(F29/O29,3)</f>
        <v>27.065000000000001</v>
      </c>
      <c r="Y29" s="25">
        <f t="shared" ref="Y29" si="121">ROUND(G29/P29,3)</f>
        <v>18.922000000000001</v>
      </c>
      <c r="Z29" s="24">
        <f t="shared" ref="Z29" si="122">ROUND(H29/Q29,3)</f>
        <v>5.8150000000000004</v>
      </c>
      <c r="AA29" s="32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30" t="s">
        <v>46</v>
      </c>
      <c r="B38" s="27">
        <f t="shared" si="193"/>
        <v>20.217933252915159</v>
      </c>
      <c r="C38" s="27">
        <f t="shared" si="194"/>
        <v>0.98150381986328916</v>
      </c>
      <c r="D38" s="28">
        <f t="shared" si="195"/>
        <v>24.869999999999997</v>
      </c>
      <c r="E38" s="25">
        <v>144.19999999999999</v>
      </c>
      <c r="F38" s="31">
        <v>12.67</v>
      </c>
      <c r="G38" s="31">
        <v>11.12</v>
      </c>
      <c r="H38" s="31">
        <v>1.08</v>
      </c>
      <c r="I38" s="32">
        <v>13</v>
      </c>
      <c r="J38" s="30" t="s">
        <v>46</v>
      </c>
      <c r="K38" s="27">
        <f t="shared" si="138"/>
        <v>40.105769230769226</v>
      </c>
      <c r="L38" s="27">
        <f t="shared" si="139"/>
        <v>1.0673076923076923</v>
      </c>
      <c r="M38" s="28">
        <f t="shared" si="140"/>
        <v>1.04</v>
      </c>
      <c r="N38" s="25">
        <v>7.02</v>
      </c>
      <c r="O38" s="31">
        <v>0.6</v>
      </c>
      <c r="P38" s="31">
        <v>0.42</v>
      </c>
      <c r="Q38" s="31">
        <v>0.02</v>
      </c>
      <c r="R38" s="32">
        <v>0.61</v>
      </c>
      <c r="S38" s="30" t="s">
        <v>46</v>
      </c>
      <c r="T38" s="27">
        <f t="shared" ref="T38" si="196">ROUND(B38/K38,3)</f>
        <v>0.504</v>
      </c>
      <c r="U38" s="27">
        <f t="shared" ref="U38" si="197">ROUND(C38/L38,3)</f>
        <v>0.92</v>
      </c>
      <c r="V38" s="28">
        <f t="shared" ref="V38" si="198">ROUND(D38/M38,3)</f>
        <v>23.913</v>
      </c>
      <c r="W38" s="25">
        <f t="shared" ref="W38" si="199">ROUND(E38/N38,3)</f>
        <v>20.541</v>
      </c>
      <c r="X38" s="31">
        <f t="shared" ref="X38" si="200">ROUND(F38/O38,3)</f>
        <v>21.117000000000001</v>
      </c>
      <c r="Y38" s="31">
        <f t="shared" ref="Y38" si="201">ROUND(G38/P38,3)</f>
        <v>26.475999999999999</v>
      </c>
      <c r="Z38" s="31">
        <f t="shared" ref="Z38" si="202">ROUND(H38/Q38,3)</f>
        <v>54</v>
      </c>
      <c r="AA38" s="32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21" t="s">
        <v>51</v>
      </c>
      <c r="B43" s="27">
        <f t="shared" ref="B43" si="254">D$2/D43</f>
        <v>21.880765883376846</v>
      </c>
      <c r="C43" s="27">
        <f t="shared" ref="C43" si="255">D42/D43</f>
        <v>1.0813751087902523</v>
      </c>
      <c r="D43" s="28">
        <f t="shared" ref="D43" si="256">SUM(F43:H43)</f>
        <v>22.98</v>
      </c>
      <c r="E43" s="24">
        <v>1</v>
      </c>
      <c r="F43" s="25">
        <v>10.82</v>
      </c>
      <c r="G43" s="24">
        <v>11.09</v>
      </c>
      <c r="H43" s="24">
        <v>1.07</v>
      </c>
      <c r="I43" s="29">
        <v>12.7</v>
      </c>
      <c r="J43" s="21" t="s">
        <v>51</v>
      </c>
      <c r="K43" s="27">
        <f t="shared" ref="K43" si="257">M$2/M43</f>
        <v>42.999999999999993</v>
      </c>
      <c r="L43" s="27">
        <f t="shared" ref="L43" si="258">M42/M43</f>
        <v>1.0206185567010309</v>
      </c>
      <c r="M43" s="28">
        <f t="shared" ref="M43" si="259">SUM(O43:Q43)</f>
        <v>0.97</v>
      </c>
      <c r="N43" s="24">
        <v>0.09</v>
      </c>
      <c r="O43" s="25">
        <v>0.59</v>
      </c>
      <c r="P43" s="24">
        <v>0.36</v>
      </c>
      <c r="Q43" s="24">
        <v>0.02</v>
      </c>
      <c r="R43" s="29">
        <v>0.59</v>
      </c>
      <c r="S43" s="21" t="s">
        <v>51</v>
      </c>
      <c r="T43" s="27">
        <f t="shared" ref="T43" si="260">ROUND(B43/K43,3)</f>
        <v>0.50900000000000001</v>
      </c>
      <c r="U43" s="27">
        <f t="shared" ref="U43" si="261">ROUND(C43/L43,3)</f>
        <v>1.06</v>
      </c>
      <c r="V43" s="28">
        <f t="shared" ref="V43" si="262">ROUND(D43/M43,3)</f>
        <v>23.690999999999999</v>
      </c>
      <c r="W43" s="24">
        <f t="shared" ref="W43" si="263">ROUND(E43/N43,3)</f>
        <v>11.111000000000001</v>
      </c>
      <c r="X43" s="25">
        <f t="shared" ref="X43" si="264">ROUND(F43/O43,3)</f>
        <v>18.338999999999999</v>
      </c>
      <c r="Y43" s="24">
        <f t="shared" ref="Y43" si="265">ROUND(G43/P43,3)</f>
        <v>30.806000000000001</v>
      </c>
      <c r="Z43" s="24">
        <f t="shared" ref="Z43" si="266">ROUND(H43/Q43,3)</f>
        <v>53.5</v>
      </c>
      <c r="AA43" s="29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21" t="s">
        <v>59</v>
      </c>
      <c r="B51" s="22">
        <f t="shared" ref="B51" si="360">D$2/D51</f>
        <v>32.608300907911797</v>
      </c>
      <c r="C51" s="22">
        <f t="shared" ref="C51" si="361">D50/D51</f>
        <v>1.1335927367055771</v>
      </c>
      <c r="D51" s="23">
        <f t="shared" ref="D51" si="362">SUM(F51:H51)</f>
        <v>15.42</v>
      </c>
      <c r="E51" s="24">
        <v>0.66</v>
      </c>
      <c r="F51" s="24">
        <v>7.76</v>
      </c>
      <c r="G51" s="25">
        <v>7.01</v>
      </c>
      <c r="H51" s="24">
        <v>0.65</v>
      </c>
      <c r="I51" s="26">
        <v>4.96</v>
      </c>
      <c r="J51" s="21" t="s">
        <v>59</v>
      </c>
      <c r="K51" s="22">
        <f t="shared" ref="K51:K53" si="363">M$2/M51</f>
        <v>62.253731343283569</v>
      </c>
      <c r="L51" s="22">
        <f t="shared" ref="L51:L53" si="364">M50/M51</f>
        <v>1.1044776119402984</v>
      </c>
      <c r="M51" s="23">
        <f t="shared" ref="M51:M53" si="365">SUM(O51:Q51)</f>
        <v>0.67</v>
      </c>
      <c r="N51" s="24">
        <v>7.0000000000000007E-2</v>
      </c>
      <c r="O51" s="24">
        <v>0.47</v>
      </c>
      <c r="P51" s="25">
        <v>0.17</v>
      </c>
      <c r="Q51" s="24">
        <v>0.03</v>
      </c>
      <c r="R51" s="26">
        <v>0.18</v>
      </c>
      <c r="S51" s="21" t="s">
        <v>59</v>
      </c>
      <c r="T51" s="22">
        <f t="shared" ref="T51" si="366">ROUND(B51/K51,3)</f>
        <v>0.52400000000000002</v>
      </c>
      <c r="U51" s="22">
        <f t="shared" ref="U51" si="367">ROUND(C51/L51,3)</f>
        <v>1.026</v>
      </c>
      <c r="V51" s="23">
        <f t="shared" ref="V51" si="368">ROUND(D51/M51,3)</f>
        <v>23.015000000000001</v>
      </c>
      <c r="W51" s="24">
        <f t="shared" ref="W51" si="369">ROUND(E51/N51,3)</f>
        <v>9.4290000000000003</v>
      </c>
      <c r="X51" s="24">
        <f t="shared" ref="X51" si="370">ROUND(F51/O51,3)</f>
        <v>16.510999999999999</v>
      </c>
      <c r="Y51" s="25">
        <f t="shared" ref="Y51" si="371">ROUND(G51/P51,3)</f>
        <v>41.234999999999999</v>
      </c>
      <c r="Z51" s="24">
        <f t="shared" ref="Z51" si="372">ROUND(H51/Q51,3)</f>
        <v>21.667000000000002</v>
      </c>
      <c r="AA51" s="26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21" t="s">
        <v>66</v>
      </c>
      <c r="B58" s="22">
        <f t="shared" si="421"/>
        <v>52.051759834368525</v>
      </c>
      <c r="C58" s="22">
        <f t="shared" si="422"/>
        <v>1.0351966873706004</v>
      </c>
      <c r="D58" s="23">
        <f t="shared" si="423"/>
        <v>9.66</v>
      </c>
      <c r="E58" s="24">
        <v>0.4</v>
      </c>
      <c r="F58" s="25">
        <v>6.44</v>
      </c>
      <c r="G58" s="25">
        <v>2.99</v>
      </c>
      <c r="H58" s="24">
        <v>0.23</v>
      </c>
      <c r="I58" s="26">
        <v>2.4300000000000002</v>
      </c>
      <c r="J58" s="21" t="s">
        <v>66</v>
      </c>
      <c r="K58" s="22">
        <f t="shared" si="424"/>
        <v>65.171874999999986</v>
      </c>
      <c r="L58" s="22">
        <f t="shared" si="425"/>
        <v>1.015625</v>
      </c>
      <c r="M58" s="23">
        <f t="shared" si="426"/>
        <v>0.64</v>
      </c>
      <c r="N58" s="24">
        <v>0.06</v>
      </c>
      <c r="O58" s="25">
        <v>0.47</v>
      </c>
      <c r="P58" s="25">
        <v>0.15</v>
      </c>
      <c r="Q58" s="24">
        <v>0.02</v>
      </c>
      <c r="R58" s="26">
        <v>0.15</v>
      </c>
      <c r="S58" s="21" t="s">
        <v>66</v>
      </c>
      <c r="T58" s="22">
        <f t="shared" si="427"/>
        <v>0.79900000000000004</v>
      </c>
      <c r="U58" s="22">
        <f t="shared" si="428"/>
        <v>1.0189999999999999</v>
      </c>
      <c r="V58" s="23">
        <f t="shared" si="429"/>
        <v>15.093999999999999</v>
      </c>
      <c r="W58" s="24">
        <f t="shared" si="430"/>
        <v>6.6669999999999998</v>
      </c>
      <c r="X58" s="25">
        <f t="shared" si="431"/>
        <v>13.702</v>
      </c>
      <c r="Y58" s="25">
        <f t="shared" si="432"/>
        <v>19.933</v>
      </c>
      <c r="Z58" s="24">
        <f t="shared" si="433"/>
        <v>11.5</v>
      </c>
      <c r="AA58" s="26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8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58.672112018669772</v>
      </c>
      <c r="C62" s="5">
        <f t="shared" ref="C62" si="478">D61/D62</f>
        <v>1.0128354725787632</v>
      </c>
      <c r="D62" s="4">
        <f t="shared" ref="D62" si="479">SUM(F62:H62)</f>
        <v>8.57</v>
      </c>
      <c r="E62" s="9">
        <v>0.42</v>
      </c>
      <c r="F62" s="13">
        <v>5.74</v>
      </c>
      <c r="G62" s="9">
        <v>2.6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67.274193548387075</v>
      </c>
      <c r="L62" s="5">
        <f t="shared" ref="L62" si="481">M61/M62</f>
        <v>1.0161290322580643</v>
      </c>
      <c r="M62" s="4">
        <f t="shared" ref="M62" si="482">SUM(O62:Q62)</f>
        <v>0.62000000000000011</v>
      </c>
      <c r="N62" s="9">
        <v>0.06</v>
      </c>
      <c r="O62" s="13">
        <v>0.46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0.872</v>
      </c>
      <c r="U62" s="5">
        <f t="shared" ref="U62" si="484">ROUND(C62/L62,3)</f>
        <v>0.997</v>
      </c>
      <c r="V62" s="4">
        <f t="shared" ref="V62" si="485">ROUND(D62/M62,3)</f>
        <v>13.823</v>
      </c>
      <c r="W62" s="9">
        <f t="shared" ref="W62" si="486">ROUND(E62/N62,3)</f>
        <v>7</v>
      </c>
      <c r="X62" s="13">
        <f t="shared" ref="X62" si="487">ROUND(F62/O62,3)</f>
        <v>12.478</v>
      </c>
      <c r="Y62" s="9">
        <f t="shared" ref="Y62" si="488">ROUND(G62/P62,3)</f>
        <v>18.571000000000002</v>
      </c>
      <c r="Z62" s="9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58.062355658198605</v>
      </c>
      <c r="C63" s="5">
        <f t="shared" ref="C63" si="492">D62/D63</f>
        <v>0.98960739030023093</v>
      </c>
      <c r="D63" s="4">
        <f t="shared" ref="D63" si="493">SUM(F63:H63)</f>
        <v>8.66</v>
      </c>
      <c r="E63" s="9">
        <v>0.44</v>
      </c>
      <c r="F63" s="9">
        <v>5.79</v>
      </c>
      <c r="G63" s="9">
        <v>2.62</v>
      </c>
      <c r="H63" s="9">
        <v>0.25</v>
      </c>
      <c r="I63" s="10">
        <v>2.0299999999999998</v>
      </c>
      <c r="J63" s="20" t="s">
        <v>71</v>
      </c>
      <c r="K63" s="5">
        <f t="shared" ref="K63" si="494">M$2/M63</f>
        <v>67.274193548387075</v>
      </c>
      <c r="L63" s="5">
        <f t="shared" ref="L63" si="495">M62/M63</f>
        <v>1</v>
      </c>
      <c r="M63" s="4">
        <f t="shared" ref="M63" si="496">SUM(O63:Q63)</f>
        <v>0.62000000000000011</v>
      </c>
      <c r="N63" s="9">
        <v>7.0000000000000007E-2</v>
      </c>
      <c r="O63" s="9">
        <v>0.46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0.86299999999999999</v>
      </c>
      <c r="U63" s="5">
        <f t="shared" ref="U63" si="498">ROUND(C63/L63,3)</f>
        <v>0.99</v>
      </c>
      <c r="V63" s="4">
        <f t="shared" ref="V63" si="499">ROUND(D63/M63,3)</f>
        <v>13.968</v>
      </c>
      <c r="W63" s="9">
        <f t="shared" ref="W63" si="500">ROUND(E63/N63,3)</f>
        <v>6.2859999999999996</v>
      </c>
      <c r="X63" s="9">
        <f t="shared" ref="X63" si="501">ROUND(F63/O63,3)</f>
        <v>12.587</v>
      </c>
      <c r="Y63" s="9">
        <f t="shared" ref="Y63" si="502">ROUND(G63/P63,3)</f>
        <v>18.713999999999999</v>
      </c>
      <c r="Z63" s="9">
        <f t="shared" ref="Z63" si="503">ROUND(H63/Q63,3)</f>
        <v>12.5</v>
      </c>
      <c r="AA63" s="10">
        <f t="shared" ref="AA63" si="504">ROUND(I63/R63,3)</f>
        <v>15.615</v>
      </c>
    </row>
    <row r="64" spans="1:28" ht="14.25" customHeight="1" x14ac:dyDescent="0.2">
      <c r="A64" s="12" t="s">
        <v>73</v>
      </c>
      <c r="B64" s="2">
        <f t="shared" ref="B64" si="505">D$2/D64</f>
        <v>64.217113665389519</v>
      </c>
      <c r="C64" s="2">
        <f t="shared" ref="C64" si="506">D63/D64</f>
        <v>1.1060025542784164</v>
      </c>
      <c r="D64" s="6">
        <f t="shared" ref="D64" si="507">SUM(F64:H64)</f>
        <v>7.83</v>
      </c>
      <c r="E64" s="9">
        <v>0.52</v>
      </c>
      <c r="F64" s="13">
        <v>4.97</v>
      </c>
      <c r="G64" s="9">
        <v>2.63</v>
      </c>
      <c r="H64" s="9">
        <v>0.23</v>
      </c>
      <c r="I64" s="10">
        <v>2.0299999999999998</v>
      </c>
      <c r="J64" s="12" t="s">
        <v>72</v>
      </c>
      <c r="K64" s="2">
        <f t="shared" ref="K64" si="508">M$2/M64</f>
        <v>77.240740740740719</v>
      </c>
      <c r="L64" s="2">
        <f t="shared" ref="L64" si="509">M63/M64</f>
        <v>1.1481481481481484</v>
      </c>
      <c r="M64" s="6">
        <f t="shared" ref="M64" si="510">SUM(O64:Q64)</f>
        <v>0.54</v>
      </c>
      <c r="N64" s="9">
        <v>7.0000000000000007E-2</v>
      </c>
      <c r="O64" s="13">
        <v>0.38</v>
      </c>
      <c r="P64" s="9">
        <v>0.14000000000000001</v>
      </c>
      <c r="Q64" s="9">
        <v>0.02</v>
      </c>
      <c r="R64" s="10">
        <v>0.13</v>
      </c>
      <c r="S64" s="12" t="s">
        <v>72</v>
      </c>
      <c r="T64" s="2">
        <f t="shared" ref="T64" si="511">ROUND(B64/K64,3)</f>
        <v>0.83099999999999996</v>
      </c>
      <c r="U64" s="2">
        <f t="shared" ref="U64" si="512">ROUND(C64/L64,3)</f>
        <v>0.96299999999999997</v>
      </c>
      <c r="V64" s="6">
        <f t="shared" ref="V64" si="513">ROUND(D64/M64,3)</f>
        <v>14.5</v>
      </c>
      <c r="W64" s="9">
        <f t="shared" ref="W64" si="514">ROUND(E64/N64,3)</f>
        <v>7.4290000000000003</v>
      </c>
      <c r="X64" s="13">
        <f t="shared" ref="X64" si="515">ROUND(F64/O64,3)</f>
        <v>13.079000000000001</v>
      </c>
      <c r="Y64" s="9">
        <f t="shared" ref="Y64" si="516">ROUND(G64/P64,3)</f>
        <v>18.786000000000001</v>
      </c>
      <c r="Z64" s="9">
        <f t="shared" ref="Z64" si="517">ROUND(H64/Q64,3)</f>
        <v>11.5</v>
      </c>
      <c r="AA64" s="10">
        <f t="shared" ref="AA64" si="518">ROUND(I64/R64,3)</f>
        <v>15.615</v>
      </c>
    </row>
    <row r="65" spans="1:28" ht="14.25" customHeight="1" x14ac:dyDescent="0.2">
      <c r="A65" s="12" t="s">
        <v>74</v>
      </c>
      <c r="B65" s="2">
        <f t="shared" ref="B65" si="519">D$2/D65</f>
        <v>67.583333333333329</v>
      </c>
      <c r="C65" s="2">
        <f t="shared" ref="C65" si="520">D64/D65</f>
        <v>1.0524193548387097</v>
      </c>
      <c r="D65" s="6">
        <f t="shared" ref="D65" si="521">SUM(F65:H65)</f>
        <v>7.4399999999999995</v>
      </c>
      <c r="E65" s="9">
        <v>0.4</v>
      </c>
      <c r="F65" s="13">
        <v>4.5999999999999996</v>
      </c>
      <c r="G65" s="9">
        <v>2.61</v>
      </c>
      <c r="H65" s="9">
        <v>0.23</v>
      </c>
      <c r="I65" s="10">
        <v>2.02</v>
      </c>
      <c r="J65" s="12" t="s">
        <v>74</v>
      </c>
      <c r="K65" s="2">
        <f t="shared" ref="K65" si="522">M$2/M65</f>
        <v>85.122448979591809</v>
      </c>
      <c r="L65" s="2">
        <f t="shared" ref="L65" si="523">M64/M65</f>
        <v>1.1020408163265305</v>
      </c>
      <c r="M65" s="6">
        <f t="shared" ref="M65" si="524">SUM(O65:Q65)</f>
        <v>0.49000000000000005</v>
      </c>
      <c r="N65" s="9">
        <v>0.06</v>
      </c>
      <c r="O65" s="13">
        <v>0.34</v>
      </c>
      <c r="P65" s="9">
        <v>0.13</v>
      </c>
      <c r="Q65" s="9">
        <v>0.02</v>
      </c>
      <c r="R65" s="10">
        <v>0.13</v>
      </c>
      <c r="S65" s="12" t="s">
        <v>74</v>
      </c>
      <c r="T65" s="2">
        <f t="shared" ref="T65" si="525">ROUND(B65/K65,3)</f>
        <v>0.79400000000000004</v>
      </c>
      <c r="U65" s="2">
        <f t="shared" ref="U65" si="526">ROUND(C65/L65,3)</f>
        <v>0.95499999999999996</v>
      </c>
      <c r="V65" s="6">
        <f t="shared" ref="V65" si="527">ROUND(D65/M65,3)</f>
        <v>15.183999999999999</v>
      </c>
      <c r="W65" s="9">
        <f t="shared" ref="W65" si="528">ROUND(E65/N65,3)</f>
        <v>6.6669999999999998</v>
      </c>
      <c r="X65" s="13">
        <f t="shared" ref="X65" si="529">ROUND(F65/O65,3)</f>
        <v>13.529</v>
      </c>
      <c r="Y65" s="9">
        <f t="shared" ref="Y65" si="530">ROUND(G65/P65,3)</f>
        <v>20.077000000000002</v>
      </c>
      <c r="Z65" s="9">
        <f t="shared" ref="Z65" si="531">ROUND(H65/Q65,3)</f>
        <v>11.5</v>
      </c>
      <c r="AA65" s="10">
        <f t="shared" ref="AA65" si="532">ROUND(I65/R65,3)</f>
        <v>15.538</v>
      </c>
    </row>
    <row r="66" spans="1:28" ht="14.25" customHeight="1" x14ac:dyDescent="0.2">
      <c r="A66" s="12" t="s">
        <v>75</v>
      </c>
      <c r="B66" s="2">
        <f t="shared" ref="B66" si="533">D$2/D66</f>
        <v>82.836902800658962</v>
      </c>
      <c r="C66" s="2">
        <f t="shared" ref="C66" si="534">D65/D66</f>
        <v>1.2257001647446457</v>
      </c>
      <c r="D66" s="6">
        <f t="shared" ref="D66" si="535">SUM(F66:H66)</f>
        <v>6.07</v>
      </c>
      <c r="E66" s="9">
        <v>0.4</v>
      </c>
      <c r="F66" s="13">
        <v>3.22</v>
      </c>
      <c r="G66" s="9">
        <v>2.62</v>
      </c>
      <c r="H66" s="9">
        <v>0.23</v>
      </c>
      <c r="I66" s="10">
        <v>2.0299999999999998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1.0425531914893618</v>
      </c>
      <c r="M66" s="6">
        <f t="shared" ref="M66" si="538">SUM(O66:Q66)</f>
        <v>0.47000000000000003</v>
      </c>
      <c r="N66" s="9">
        <v>0.06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0.93300000000000005</v>
      </c>
      <c r="U66" s="2">
        <f t="shared" ref="U66" si="540">ROUND(C66/L66,3)</f>
        <v>1.1759999999999999</v>
      </c>
      <c r="V66" s="6">
        <f t="shared" ref="V66" si="541">ROUND(D66/M66,3)</f>
        <v>12.914999999999999</v>
      </c>
      <c r="W66" s="9">
        <f t="shared" ref="W66" si="542">ROUND(E66/N66,3)</f>
        <v>6.6669999999999998</v>
      </c>
      <c r="X66" s="13">
        <f t="shared" ref="X66" si="543">ROUND(F66/O66,3)</f>
        <v>10.387</v>
      </c>
      <c r="Y66" s="9">
        <f t="shared" ref="Y66" si="544">ROUND(G66/P66,3)</f>
        <v>18.713999999999999</v>
      </c>
      <c r="Z66" s="9">
        <f t="shared" ref="Z66" si="545">ROUND(H66/Q66,3)</f>
        <v>11.5</v>
      </c>
      <c r="AA66" s="10">
        <f t="shared" ref="AA66" si="546">ROUND(I66/R66,3)</f>
        <v>15.615</v>
      </c>
    </row>
    <row r="67" spans="1:28" ht="14.25" customHeight="1" x14ac:dyDescent="0.2">
      <c r="A67" s="12" t="s">
        <v>76</v>
      </c>
      <c r="B67" s="2">
        <f t="shared" ref="B67" si="547">D$2/D67</f>
        <v>104.75416666666663</v>
      </c>
      <c r="C67" s="2">
        <f t="shared" ref="C67" si="548">D66/D67</f>
        <v>1.2645833333333332</v>
      </c>
      <c r="D67" s="6">
        <f t="shared" ref="D67" si="549">SUM(F67:H67)</f>
        <v>4.8000000000000007</v>
      </c>
      <c r="E67" s="9">
        <v>0.43</v>
      </c>
      <c r="F67" s="9">
        <v>3.21</v>
      </c>
      <c r="G67" s="13">
        <v>1.35</v>
      </c>
      <c r="H67" s="9">
        <v>0.24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0.06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1.155</v>
      </c>
      <c r="U67" s="2">
        <f t="shared" ref="U67" si="554">ROUND(C67/L67,3)</f>
        <v>1.238</v>
      </c>
      <c r="V67" s="6">
        <f t="shared" ref="V67" si="555">ROUND(D67/M67,3)</f>
        <v>10.435</v>
      </c>
      <c r="W67" s="9">
        <f t="shared" ref="W67" si="556">ROUND(E67/N67,3)</f>
        <v>7.1669999999999998</v>
      </c>
      <c r="X67" s="9">
        <f t="shared" ref="X67" si="557">ROUND(F67/O67,3)</f>
        <v>10.355</v>
      </c>
      <c r="Y67" s="13">
        <f t="shared" ref="Y67" si="558">ROUND(G67/P67,3)</f>
        <v>10.385</v>
      </c>
      <c r="Z67" s="9">
        <f t="shared" ref="Z67" si="559">ROUND(H67/Q67,3)</f>
        <v>12</v>
      </c>
      <c r="AA67" s="14">
        <f t="shared" ref="AA67" si="560">ROUND(I67/R67,3)</f>
        <v>6.2859999999999996</v>
      </c>
    </row>
    <row r="68" spans="1:28" s="18" customFormat="1" ht="14.25" customHeight="1" x14ac:dyDescent="0.2">
      <c r="A68" s="30" t="s">
        <v>77</v>
      </c>
      <c r="B68" s="27">
        <f t="shared" ref="B68" si="561">D$2/D68</f>
        <v>104.10351966873706</v>
      </c>
      <c r="C68" s="27">
        <f t="shared" ref="C68" si="562">D67/D68</f>
        <v>0.99378881987577672</v>
      </c>
      <c r="D68" s="28">
        <f t="shared" ref="D68" si="563">SUM(F68:H68)</f>
        <v>4.8299999999999992</v>
      </c>
      <c r="E68" s="31">
        <v>0.39</v>
      </c>
      <c r="F68" s="31">
        <v>3.26</v>
      </c>
      <c r="G68" s="31">
        <v>1.35</v>
      </c>
      <c r="H68" s="25">
        <v>0.22</v>
      </c>
      <c r="I68" s="32">
        <v>0.44</v>
      </c>
      <c r="J68" s="30" t="s">
        <v>77</v>
      </c>
      <c r="K68" s="27">
        <f t="shared" ref="K68" si="564">M$2/M68</f>
        <v>90.673913043478237</v>
      </c>
      <c r="L68" s="27">
        <f t="shared" ref="L68" si="565">M67/M68</f>
        <v>1</v>
      </c>
      <c r="M68" s="28">
        <f t="shared" ref="M68" si="566">SUM(O68:Q68)</f>
        <v>0.46</v>
      </c>
      <c r="N68" s="31">
        <v>7.0000000000000007E-2</v>
      </c>
      <c r="O68" s="31">
        <v>0.31</v>
      </c>
      <c r="P68" s="31">
        <v>0.13</v>
      </c>
      <c r="Q68" s="25">
        <v>0.02</v>
      </c>
      <c r="R68" s="32">
        <v>7.0000000000000007E-2</v>
      </c>
      <c r="S68" s="30" t="s">
        <v>77</v>
      </c>
      <c r="T68" s="27">
        <f t="shared" ref="T68" si="567">ROUND(B68/K68,3)</f>
        <v>1.1479999999999999</v>
      </c>
      <c r="U68" s="27">
        <f t="shared" ref="U68" si="568">ROUND(C68/L68,3)</f>
        <v>0.99399999999999999</v>
      </c>
      <c r="V68" s="28">
        <f t="shared" ref="V68" si="569">ROUND(D68/M68,3)</f>
        <v>10.5</v>
      </c>
      <c r="W68" s="31">
        <f t="shared" ref="W68" si="570">ROUND(E68/N68,3)</f>
        <v>5.5709999999999997</v>
      </c>
      <c r="X68" s="31">
        <f t="shared" ref="X68" si="571">ROUND(F68/O68,3)</f>
        <v>10.516</v>
      </c>
      <c r="Y68" s="31">
        <f t="shared" ref="Y68" si="572">ROUND(G68/P68,3)</f>
        <v>10.385</v>
      </c>
      <c r="Z68" s="25">
        <f t="shared" ref="Z68" si="573">ROUND(H68/Q68,3)</f>
        <v>11</v>
      </c>
      <c r="AA68" s="32">
        <f t="shared" ref="AA68" si="574">ROUND(I68/R68,3)</f>
        <v>6.2859999999999996</v>
      </c>
      <c r="AB68" s="20"/>
    </row>
    <row r="69" spans="1:28" ht="14.25" customHeight="1" x14ac:dyDescent="0.2">
      <c r="A69" s="20" t="s">
        <v>78</v>
      </c>
      <c r="B69" s="2">
        <f t="shared" ref="B69" si="575">D$2/D69</f>
        <v>104.97286012526095</v>
      </c>
      <c r="C69" s="2">
        <f t="shared" ref="C69" si="576">D68/D69</f>
        <v>1.008350730688935</v>
      </c>
      <c r="D69" s="6">
        <f t="shared" ref="D69" si="577">SUM(F69:H69)</f>
        <v>4.79</v>
      </c>
      <c r="E69" s="9">
        <v>0.41</v>
      </c>
      <c r="F69" s="13">
        <v>3.23</v>
      </c>
      <c r="G69" s="13">
        <v>1.34</v>
      </c>
      <c r="H69" s="9">
        <v>0.22</v>
      </c>
      <c r="I69" s="14">
        <v>0.44</v>
      </c>
      <c r="J69" s="20" t="s">
        <v>78</v>
      </c>
      <c r="K69" s="2">
        <f t="shared" ref="K69" si="578">M$2/M69</f>
        <v>115.8611111111111</v>
      </c>
      <c r="L69" s="2">
        <f t="shared" ref="L69" si="579">M68/M69</f>
        <v>1.2777777777777779</v>
      </c>
      <c r="M69" s="6">
        <f t="shared" ref="M69" si="580">SUM(O69:Q69)</f>
        <v>0.36</v>
      </c>
      <c r="N69" s="9">
        <v>0.06</v>
      </c>
      <c r="O69" s="13">
        <v>0.25</v>
      </c>
      <c r="P69" s="13">
        <v>0.09</v>
      </c>
      <c r="Q69" s="9">
        <v>0.02</v>
      </c>
      <c r="R69" s="14">
        <v>0.05</v>
      </c>
      <c r="S69" s="20" t="s">
        <v>78</v>
      </c>
      <c r="T69" s="2">
        <f t="shared" ref="T69" si="581">ROUND(B69/K69,3)</f>
        <v>0.90600000000000003</v>
      </c>
      <c r="U69" s="2">
        <f t="shared" ref="U69" si="582">ROUND(C69/L69,3)</f>
        <v>0.78900000000000003</v>
      </c>
      <c r="V69" s="6">
        <f t="shared" ref="V69" si="583">ROUND(D69/M69,3)</f>
        <v>13.305999999999999</v>
      </c>
      <c r="W69" s="9">
        <f t="shared" ref="W69" si="584">ROUND(E69/N69,3)</f>
        <v>6.8330000000000002</v>
      </c>
      <c r="X69" s="13">
        <f t="shared" ref="X69" si="585">ROUND(F69/O69,3)</f>
        <v>12.92</v>
      </c>
      <c r="Y69" s="13">
        <f t="shared" ref="Y69" si="586">ROUND(G69/P69,3)</f>
        <v>14.888999999999999</v>
      </c>
      <c r="Z69" s="9">
        <f t="shared" ref="Z69" si="587">ROUND(H69/Q69,3)</f>
        <v>11</v>
      </c>
      <c r="AA69" s="14">
        <f t="shared" ref="AA69" si="588">ROUND(I69/R69,3)</f>
        <v>8.8000000000000007</v>
      </c>
    </row>
    <row r="70" spans="1:28" s="18" customFormat="1" ht="14.25" customHeight="1" x14ac:dyDescent="0.2">
      <c r="A70" s="20" t="s">
        <v>79</v>
      </c>
      <c r="B70" s="5">
        <f t="shared" ref="B70" si="589">D$2/D70</f>
        <v>104.53638253638253</v>
      </c>
      <c r="C70" s="5">
        <f t="shared" ref="C70" si="590">D69/D70</f>
        <v>0.99584199584199595</v>
      </c>
      <c r="D70" s="4">
        <f t="shared" ref="D70" si="591">SUM(F70:H70)</f>
        <v>4.8099999999999996</v>
      </c>
      <c r="E70" s="18">
        <v>0.39</v>
      </c>
      <c r="F70" s="18">
        <v>3.24</v>
      </c>
      <c r="G70" s="18">
        <v>1.35</v>
      </c>
      <c r="H70" s="18">
        <v>0.22</v>
      </c>
      <c r="I70" s="19">
        <v>0.44</v>
      </c>
      <c r="J70" s="20" t="s">
        <v>79</v>
      </c>
      <c r="K70" s="5">
        <f t="shared" ref="K70" si="592">M$2/M70</f>
        <v>119.17142857142856</v>
      </c>
      <c r="L70" s="5">
        <f t="shared" ref="L70" si="593">M69/M70</f>
        <v>1.0285714285714287</v>
      </c>
      <c r="M70" s="4">
        <f t="shared" ref="M70" si="594">SUM(O70:Q70)</f>
        <v>0.35</v>
      </c>
      <c r="N70" s="18">
        <v>0.06</v>
      </c>
      <c r="O70" s="18">
        <v>0.24</v>
      </c>
      <c r="P70" s="18">
        <v>0.09</v>
      </c>
      <c r="Q70" s="18">
        <v>0.02</v>
      </c>
      <c r="R70" s="19">
        <v>0.05</v>
      </c>
      <c r="S70" s="20" t="s">
        <v>79</v>
      </c>
      <c r="T70" s="5">
        <f t="shared" ref="T70" si="595">ROUND(B70/K70,3)</f>
        <v>0.877</v>
      </c>
      <c r="U70" s="5">
        <f t="shared" ref="U70" si="596">ROUND(C70/L70,3)</f>
        <v>0.96799999999999997</v>
      </c>
      <c r="V70" s="4">
        <f t="shared" ref="V70" si="597">ROUND(D70/M70,3)</f>
        <v>13.743</v>
      </c>
      <c r="W70" s="18">
        <f t="shared" ref="W70" si="598">ROUND(E70/N70,3)</f>
        <v>6.5</v>
      </c>
      <c r="X70" s="18">
        <f t="shared" ref="X70" si="599">ROUND(F70/O70,3)</f>
        <v>13.5</v>
      </c>
      <c r="Y70" s="18">
        <f t="shared" ref="Y70" si="600">ROUND(G70/P70,3)</f>
        <v>15</v>
      </c>
      <c r="Z70" s="18">
        <f t="shared" ref="Z70" si="601">ROUND(H70/Q70,3)</f>
        <v>11</v>
      </c>
      <c r="AA70" s="19">
        <f t="shared" ref="AA70" si="602">ROUND(I70/R70,3)</f>
        <v>8.8000000000000007</v>
      </c>
      <c r="AB70" s="20"/>
    </row>
    <row r="71" spans="1:28" ht="14.25" customHeight="1" x14ac:dyDescent="0.2">
      <c r="A71" s="20" t="s">
        <v>80</v>
      </c>
      <c r="B71" s="2">
        <f t="shared" ref="B71" si="603">D$2/D71</f>
        <v>116.66357308584686</v>
      </c>
      <c r="C71" s="2">
        <f t="shared" ref="C71" si="604">D70/D71</f>
        <v>1.1160092807424593</v>
      </c>
      <c r="D71" s="6">
        <f t="shared" ref="D71" si="605">SUM(F71:H71)</f>
        <v>4.3099999999999996</v>
      </c>
      <c r="E71" s="9">
        <v>0.4</v>
      </c>
      <c r="F71" s="13">
        <v>2.76</v>
      </c>
      <c r="G71" s="9">
        <v>1.33</v>
      </c>
      <c r="H71" s="9">
        <v>0.22</v>
      </c>
      <c r="I71" s="10">
        <v>0.43</v>
      </c>
      <c r="J71" s="20" t="s">
        <v>80</v>
      </c>
      <c r="K71" s="2">
        <f t="shared" ref="K71" si="606">M$2/M71</f>
        <v>122.67647058823526</v>
      </c>
      <c r="L71" s="2">
        <f t="shared" ref="L71" si="607">M70/M71</f>
        <v>1.0294117647058822</v>
      </c>
      <c r="M71" s="6">
        <f t="shared" ref="M71" si="608">SUM(O71:Q71)</f>
        <v>0.34</v>
      </c>
      <c r="N71" s="9">
        <v>0.06</v>
      </c>
      <c r="O71" s="13">
        <v>0.23</v>
      </c>
      <c r="P71" s="9">
        <v>0.09</v>
      </c>
      <c r="Q71" s="9">
        <v>0.02</v>
      </c>
      <c r="R71" s="10">
        <v>0.05</v>
      </c>
      <c r="S71" s="20" t="s">
        <v>80</v>
      </c>
      <c r="T71" s="2">
        <f t="shared" ref="T71" si="609">ROUND(B71/K71,3)</f>
        <v>0.95099999999999996</v>
      </c>
      <c r="U71" s="2">
        <f t="shared" ref="U71" si="610">ROUND(C71/L71,3)</f>
        <v>1.0840000000000001</v>
      </c>
      <c r="V71" s="6">
        <f t="shared" ref="V71" si="611">ROUND(D71/M71,3)</f>
        <v>12.676</v>
      </c>
      <c r="W71" s="9">
        <f t="shared" ref="W71" si="612">ROUND(E71/N71,3)</f>
        <v>6.6669999999999998</v>
      </c>
      <c r="X71" s="13">
        <f t="shared" ref="X71" si="613">ROUND(F71/O71,3)</f>
        <v>12</v>
      </c>
      <c r="Y71" s="9">
        <f t="shared" ref="Y71" si="614">ROUND(G71/P71,3)</f>
        <v>14.778</v>
      </c>
      <c r="Z71" s="9">
        <f t="shared" ref="Z71" si="615">ROUND(H71/Q71,3)</f>
        <v>11</v>
      </c>
      <c r="AA71" s="10">
        <f t="shared" ref="AA71" si="616">ROUND(I71/R71,3)</f>
        <v>8.6</v>
      </c>
    </row>
    <row r="72" spans="1:28" ht="14.25" customHeight="1" x14ac:dyDescent="0.2">
      <c r="A72" s="20" t="s">
        <v>81</v>
      </c>
      <c r="B72" s="2">
        <f t="shared" ref="B72" si="617">D$2/D72</f>
        <v>121.74818401937044</v>
      </c>
      <c r="C72" s="2">
        <f t="shared" ref="C72" si="618">D71/D72</f>
        <v>1.0435835351089588</v>
      </c>
      <c r="D72" s="6">
        <f t="shared" ref="D72" si="619">SUM(F72:H72)</f>
        <v>4.13</v>
      </c>
      <c r="E72" s="9">
        <v>0.39</v>
      </c>
      <c r="F72" s="9">
        <v>2.78</v>
      </c>
      <c r="G72" s="13">
        <v>1.1299999999999999</v>
      </c>
      <c r="H72" s="9">
        <v>0.22</v>
      </c>
      <c r="I72" s="14">
        <v>0.36</v>
      </c>
      <c r="J72" s="20" t="s">
        <v>81</v>
      </c>
      <c r="K72" s="2">
        <f t="shared" ref="K72" si="620">M$2/M72</f>
        <v>130.34374999999997</v>
      </c>
      <c r="L72" s="2">
        <f t="shared" ref="L72" si="621">M71/M72</f>
        <v>1.0625</v>
      </c>
      <c r="M72" s="6">
        <f t="shared" ref="M72" si="622">SUM(O72:Q72)</f>
        <v>0.32</v>
      </c>
      <c r="N72" s="9">
        <v>0.06</v>
      </c>
      <c r="O72" s="9">
        <v>0.22</v>
      </c>
      <c r="P72" s="13">
        <v>0.08</v>
      </c>
      <c r="Q72" s="9">
        <v>0.02</v>
      </c>
      <c r="R72" s="14">
        <v>0.05</v>
      </c>
      <c r="S72" s="20" t="s">
        <v>81</v>
      </c>
      <c r="T72" s="2">
        <f t="shared" ref="T72" si="623">ROUND(B72/K72,3)</f>
        <v>0.93400000000000005</v>
      </c>
      <c r="U72" s="2">
        <f t="shared" ref="U72" si="624">ROUND(C72/L72,3)</f>
        <v>0.98199999999999998</v>
      </c>
      <c r="V72" s="6">
        <f t="shared" ref="V72" si="625">ROUND(D72/M72,3)</f>
        <v>12.906000000000001</v>
      </c>
      <c r="W72" s="9">
        <f t="shared" ref="W72" si="626">ROUND(E72/N72,3)</f>
        <v>6.5</v>
      </c>
      <c r="X72" s="9">
        <f t="shared" ref="X72" si="627">ROUND(F72/O72,3)</f>
        <v>12.635999999999999</v>
      </c>
      <c r="Y72" s="13">
        <f t="shared" ref="Y72" si="628">ROUND(G72/P72,3)</f>
        <v>14.125</v>
      </c>
      <c r="Z72" s="9">
        <f t="shared" ref="Z72" si="629">ROUND(H72/Q72,3)</f>
        <v>11</v>
      </c>
      <c r="AA72" s="14">
        <f t="shared" ref="AA72" si="630">ROUND(I72/R72,3)</f>
        <v>7.2</v>
      </c>
    </row>
    <row r="73" spans="1:28" s="18" customFormat="1" ht="14.25" customHeight="1" x14ac:dyDescent="0.2">
      <c r="A73" s="20" t="s">
        <v>82</v>
      </c>
      <c r="B73" s="5">
        <f t="shared" ref="B73" si="631">D$2/D73</f>
        <v>122.6390243902439</v>
      </c>
      <c r="C73" s="5">
        <f t="shared" ref="C73" si="632">D72/D73</f>
        <v>1.0073170731707317</v>
      </c>
      <c r="D73" s="4">
        <f t="shared" ref="D73" si="633">SUM(F73:H73)</f>
        <v>4.0999999999999996</v>
      </c>
      <c r="E73" s="18">
        <v>0.42</v>
      </c>
      <c r="F73" s="18">
        <v>2.75</v>
      </c>
      <c r="G73" s="18">
        <v>1.1299999999999999</v>
      </c>
      <c r="H73" s="18">
        <v>0.22</v>
      </c>
      <c r="I73" s="19">
        <v>0.36</v>
      </c>
      <c r="J73" s="20" t="s">
        <v>82</v>
      </c>
      <c r="K73" s="5">
        <f t="shared" ref="K73" si="634">M$2/M73</f>
        <v>130.34374999999997</v>
      </c>
      <c r="L73" s="5">
        <f t="shared" ref="L73" si="635">M72/M73</f>
        <v>1</v>
      </c>
      <c r="M73" s="4">
        <f t="shared" ref="M73" si="636">SUM(O73:Q73)</f>
        <v>0.32</v>
      </c>
      <c r="N73" s="18">
        <v>7.0000000000000007E-2</v>
      </c>
      <c r="O73" s="18">
        <v>0.22</v>
      </c>
      <c r="P73" s="18">
        <v>0.08</v>
      </c>
      <c r="Q73" s="18">
        <v>0.02</v>
      </c>
      <c r="R73" s="19">
        <v>0.05</v>
      </c>
      <c r="S73" s="20" t="s">
        <v>82</v>
      </c>
      <c r="T73" s="5">
        <f t="shared" ref="T73" si="637">ROUND(B73/K73,3)</f>
        <v>0.94099999999999995</v>
      </c>
      <c r="U73" s="5">
        <f t="shared" ref="U73" si="638">ROUND(C73/L73,3)</f>
        <v>1.0069999999999999</v>
      </c>
      <c r="V73" s="4">
        <f t="shared" ref="V73" si="639">ROUND(D73/M73,3)</f>
        <v>12.813000000000001</v>
      </c>
      <c r="W73" s="18">
        <f t="shared" ref="W73" si="640">ROUND(E73/N73,3)</f>
        <v>6</v>
      </c>
      <c r="X73" s="18">
        <f t="shared" ref="X73" si="641">ROUND(F73/O73,3)</f>
        <v>12.5</v>
      </c>
      <c r="Y73" s="18">
        <f t="shared" ref="Y73" si="642">ROUND(G73/P73,3)</f>
        <v>14.125</v>
      </c>
      <c r="Z73" s="18">
        <f t="shared" ref="Z73" si="643">ROUND(H73/Q73,3)</f>
        <v>11</v>
      </c>
      <c r="AA73" s="19">
        <f t="shared" ref="AA73" si="644">ROUND(I73/R73,3)</f>
        <v>7.2</v>
      </c>
      <c r="AB73" s="20"/>
    </row>
    <row r="74" spans="1:28" ht="14.25" customHeight="1" x14ac:dyDescent="0.2">
      <c r="A74" s="20" t="s">
        <v>83</v>
      </c>
      <c r="B74" s="5">
        <f t="shared" ref="B74" si="645">D$2/D74</f>
        <v>122.93887530562345</v>
      </c>
      <c r="C74" s="5">
        <f t="shared" ref="C74" si="646">D73/D74</f>
        <v>1.002444987775061</v>
      </c>
      <c r="D74" s="4">
        <f t="shared" ref="D74" si="647">SUM(F74:H74)</f>
        <v>4.09</v>
      </c>
      <c r="E74" s="9">
        <v>0.39</v>
      </c>
      <c r="F74" s="9">
        <v>2.75</v>
      </c>
      <c r="G74" s="9">
        <v>1.1200000000000001</v>
      </c>
      <c r="H74" s="9">
        <v>0.22</v>
      </c>
      <c r="I74" s="10">
        <v>0.36</v>
      </c>
      <c r="J74" s="20" t="s">
        <v>83</v>
      </c>
      <c r="K74" s="5">
        <f t="shared" ref="K74:K76" si="648">M$2/M74</f>
        <v>130.34374999999997</v>
      </c>
      <c r="L74" s="5">
        <f t="shared" ref="L74:L76" si="649">M73/M74</f>
        <v>1</v>
      </c>
      <c r="M74" s="4">
        <f t="shared" ref="M74:M76" si="650">SUM(O74:Q74)</f>
        <v>0.32</v>
      </c>
      <c r="N74" s="9">
        <v>7.0000000000000007E-2</v>
      </c>
      <c r="O74" s="9">
        <v>0.22</v>
      </c>
      <c r="P74" s="9">
        <v>0.08</v>
      </c>
      <c r="Q74" s="9">
        <v>0.02</v>
      </c>
      <c r="R74" s="10">
        <v>0.05</v>
      </c>
      <c r="S74" s="20" t="s">
        <v>83</v>
      </c>
      <c r="T74" s="5">
        <f t="shared" ref="T74" si="651">ROUND(B74/K74,3)</f>
        <v>0.94299999999999995</v>
      </c>
      <c r="U74" s="5">
        <f t="shared" ref="U74" si="652">ROUND(C74/L74,3)</f>
        <v>1.002</v>
      </c>
      <c r="V74" s="4">
        <f t="shared" ref="V74" si="653">ROUND(D74/M74,3)</f>
        <v>12.781000000000001</v>
      </c>
      <c r="W74" s="9">
        <f t="shared" ref="W74" si="654">ROUND(E74/N74,3)</f>
        <v>5.5709999999999997</v>
      </c>
      <c r="X74" s="9">
        <f t="shared" ref="X74" si="655">ROUND(F74/O74,3)</f>
        <v>12.5</v>
      </c>
      <c r="Y74" s="9">
        <f t="shared" ref="Y74" si="656">ROUND(G74/P74,3)</f>
        <v>14</v>
      </c>
      <c r="Z74" s="9">
        <f t="shared" ref="Z74" si="657">ROUND(H74/Q74,3)</f>
        <v>11</v>
      </c>
      <c r="AA74" s="10">
        <f t="shared" ref="AA74" si="658">ROUND(I74/R74,3)</f>
        <v>7.2</v>
      </c>
    </row>
    <row r="75" spans="1:28" s="39" customFormat="1" ht="14.25" customHeight="1" x14ac:dyDescent="0.2">
      <c r="A75" s="20" t="s">
        <v>84</v>
      </c>
      <c r="B75" s="2">
        <f t="shared" ref="B75" si="659">D$2/D75</f>
        <v>137.38251366120215</v>
      </c>
      <c r="C75" s="2">
        <f t="shared" ref="C75" si="660">D74/D75</f>
        <v>1.1174863387978142</v>
      </c>
      <c r="D75" s="6">
        <f t="shared" ref="D75" si="661">SUM(F75:H75)</f>
        <v>3.66</v>
      </c>
      <c r="E75" s="13">
        <v>0.38</v>
      </c>
      <c r="F75" s="13">
        <v>2.66</v>
      </c>
      <c r="G75" s="13">
        <v>0.91</v>
      </c>
      <c r="H75" s="13">
        <v>0.09</v>
      </c>
      <c r="I75" s="14">
        <v>0.21</v>
      </c>
      <c r="J75" s="20" t="s">
        <v>84</v>
      </c>
      <c r="K75" s="2">
        <f t="shared" si="648"/>
        <v>139.0333333333333</v>
      </c>
      <c r="L75" s="2">
        <f t="shared" si="649"/>
        <v>1.0666666666666664</v>
      </c>
      <c r="M75" s="6">
        <f t="shared" si="650"/>
        <v>0.30000000000000004</v>
      </c>
      <c r="N75" s="13">
        <v>0.06</v>
      </c>
      <c r="O75" s="13">
        <v>0.22</v>
      </c>
      <c r="P75" s="13">
        <v>0.06</v>
      </c>
      <c r="Q75" s="13">
        <v>0.02</v>
      </c>
      <c r="R75" s="14">
        <v>0.05</v>
      </c>
      <c r="S75" s="20" t="s">
        <v>84</v>
      </c>
      <c r="T75" s="2">
        <f t="shared" ref="T75" si="662">ROUND(B75/K75,3)</f>
        <v>0.98799999999999999</v>
      </c>
      <c r="U75" s="2">
        <f t="shared" ref="U75" si="663">ROUND(C75/L75,3)</f>
        <v>1.048</v>
      </c>
      <c r="V75" s="6">
        <f t="shared" ref="V75" si="664">ROUND(D75/M75,3)</f>
        <v>12.2</v>
      </c>
      <c r="W75" s="13">
        <f t="shared" ref="W75" si="665">ROUND(E75/N75,3)</f>
        <v>6.3330000000000002</v>
      </c>
      <c r="X75" s="13">
        <f t="shared" ref="X75" si="666">ROUND(F75/O75,3)</f>
        <v>12.090999999999999</v>
      </c>
      <c r="Y75" s="13">
        <f t="shared" ref="Y75" si="667">ROUND(G75/P75,3)</f>
        <v>15.167</v>
      </c>
      <c r="Z75" s="13">
        <f t="shared" ref="Z75" si="668">ROUND(H75/Q75,3)</f>
        <v>4.5</v>
      </c>
      <c r="AA75" s="14">
        <f t="shared" ref="AA75" si="669">ROUND(I75/R75,3)</f>
        <v>4.2</v>
      </c>
      <c r="AB75" s="38"/>
    </row>
    <row r="76" spans="1:28" s="18" customFormat="1" ht="14.25" customHeight="1" x14ac:dyDescent="0.2">
      <c r="A76" s="30" t="s">
        <v>85</v>
      </c>
      <c r="B76" s="27">
        <f t="shared" ref="B76" si="670">D$2/D76</f>
        <v>140.84593837535013</v>
      </c>
      <c r="C76" s="27">
        <f t="shared" ref="C76" si="671">D75/D76</f>
        <v>1.0252100840336136</v>
      </c>
      <c r="D76" s="28">
        <f t="shared" ref="D76" si="672">SUM(F76:H76)</f>
        <v>3.57</v>
      </c>
      <c r="E76" s="31">
        <v>0.37</v>
      </c>
      <c r="F76" s="31">
        <v>2.57</v>
      </c>
      <c r="G76" s="31">
        <v>0.9</v>
      </c>
      <c r="H76" s="31">
        <v>0.1</v>
      </c>
      <c r="I76" s="32">
        <v>0.2</v>
      </c>
      <c r="J76" s="30" t="s">
        <v>85</v>
      </c>
      <c r="K76" s="27">
        <f t="shared" si="648"/>
        <v>139.0333333333333</v>
      </c>
      <c r="L76" s="27">
        <f t="shared" si="649"/>
        <v>1</v>
      </c>
      <c r="M76" s="28">
        <f t="shared" si="650"/>
        <v>0.30000000000000004</v>
      </c>
      <c r="N76" s="31">
        <v>0.06</v>
      </c>
      <c r="O76" s="31">
        <v>0.22</v>
      </c>
      <c r="P76" s="31">
        <v>0.06</v>
      </c>
      <c r="Q76" s="31">
        <v>0.02</v>
      </c>
      <c r="R76" s="32">
        <v>0.05</v>
      </c>
      <c r="S76" s="30" t="s">
        <v>85</v>
      </c>
      <c r="T76" s="27">
        <f t="shared" ref="T76:T78" si="673">ROUND(B76/K76,3)</f>
        <v>1.0129999999999999</v>
      </c>
      <c r="U76" s="27">
        <f t="shared" ref="U76:U78" si="674">ROUND(C76/L76,3)</f>
        <v>1.0249999999999999</v>
      </c>
      <c r="V76" s="28">
        <f t="shared" ref="V76:V78" si="675">ROUND(D76/M76,3)</f>
        <v>11.9</v>
      </c>
      <c r="W76" s="31">
        <f t="shared" ref="W76:W78" si="676">ROUND(E76/N76,3)</f>
        <v>6.1669999999999998</v>
      </c>
      <c r="X76" s="31">
        <f t="shared" ref="X76:X78" si="677">ROUND(F76/O76,3)</f>
        <v>11.682</v>
      </c>
      <c r="Y76" s="31">
        <f t="shared" ref="Y76:Y78" si="678">ROUND(G76/P76,3)</f>
        <v>15</v>
      </c>
      <c r="Z76" s="31">
        <f t="shared" ref="Z76:Z78" si="679">ROUND(H76/Q76,3)</f>
        <v>5</v>
      </c>
      <c r="AA76" s="32">
        <f t="shared" ref="AA76:AA78" si="680">ROUND(I76/R76,3)</f>
        <v>4</v>
      </c>
      <c r="AB76" s="20"/>
    </row>
    <row r="77" spans="1:28" ht="14.25" customHeight="1" x14ac:dyDescent="0.2">
      <c r="A77" s="40" t="s">
        <v>86</v>
      </c>
      <c r="B77" s="44">
        <f t="shared" ref="B77:B78" si="681">D$2/D77</f>
        <v>152.83282674772033</v>
      </c>
      <c r="C77" s="44">
        <f t="shared" ref="C77:C78" si="682">D76/D77</f>
        <v>1.0851063829787233</v>
      </c>
      <c r="D77" s="45">
        <f t="shared" ref="D77:D78" si="683">SUM(F77:H77)</f>
        <v>3.29</v>
      </c>
      <c r="E77" s="43">
        <v>0.39</v>
      </c>
      <c r="F77" s="9">
        <v>2.59</v>
      </c>
      <c r="G77" s="13">
        <v>0.6</v>
      </c>
      <c r="H77" s="9">
        <v>0.1</v>
      </c>
      <c r="I77" s="10">
        <v>0.2</v>
      </c>
      <c r="J77" s="40" t="s">
        <v>86</v>
      </c>
      <c r="K77" s="44">
        <f t="shared" ref="K77:K78" si="684">M$2/M77</f>
        <v>139.0333333333333</v>
      </c>
      <c r="L77" s="44">
        <f t="shared" ref="L77:L78" si="685">M76/M77</f>
        <v>1</v>
      </c>
      <c r="M77" s="45">
        <f t="shared" ref="M77:M78" si="686">SUM(O77:Q77)</f>
        <v>0.30000000000000004</v>
      </c>
      <c r="N77" s="43">
        <v>0.06</v>
      </c>
      <c r="O77" s="9">
        <v>0.22</v>
      </c>
      <c r="P77" s="13">
        <v>0.06</v>
      </c>
      <c r="Q77" s="9">
        <v>0.02</v>
      </c>
      <c r="R77" s="10">
        <v>0.04</v>
      </c>
      <c r="S77" s="40" t="s">
        <v>86</v>
      </c>
      <c r="T77" s="44">
        <f t="shared" si="673"/>
        <v>1.099</v>
      </c>
      <c r="U77" s="44">
        <f t="shared" si="674"/>
        <v>1.085</v>
      </c>
      <c r="V77" s="45">
        <f t="shared" si="675"/>
        <v>10.967000000000001</v>
      </c>
      <c r="W77" s="43">
        <f t="shared" si="676"/>
        <v>6.5</v>
      </c>
      <c r="X77" s="9">
        <f t="shared" si="677"/>
        <v>11.773</v>
      </c>
      <c r="Y77" s="13">
        <f t="shared" si="678"/>
        <v>10</v>
      </c>
      <c r="Z77" s="9">
        <f t="shared" si="679"/>
        <v>5</v>
      </c>
      <c r="AA77" s="10">
        <f t="shared" si="680"/>
        <v>5</v>
      </c>
    </row>
    <row r="78" spans="1:28" ht="14.25" customHeight="1" x14ac:dyDescent="0.2">
      <c r="A78" s="40" t="s">
        <v>87</v>
      </c>
      <c r="B78" s="41">
        <f t="shared" si="681"/>
        <v>149.64880952380952</v>
      </c>
      <c r="C78" s="41">
        <f t="shared" si="682"/>
        <v>0.97916666666666674</v>
      </c>
      <c r="D78" s="42">
        <f t="shared" si="683"/>
        <v>3.36</v>
      </c>
      <c r="E78" s="43">
        <v>0.38</v>
      </c>
      <c r="F78" s="9">
        <v>2.67</v>
      </c>
      <c r="G78" s="9">
        <v>0.6</v>
      </c>
      <c r="H78" s="13">
        <v>0.09</v>
      </c>
      <c r="I78" s="10">
        <v>0.2</v>
      </c>
      <c r="J78" s="40" t="s">
        <v>87</v>
      </c>
      <c r="K78" s="41">
        <f t="shared" si="684"/>
        <v>139.0333333333333</v>
      </c>
      <c r="L78" s="41">
        <f t="shared" si="685"/>
        <v>1</v>
      </c>
      <c r="M78" s="42">
        <f t="shared" si="686"/>
        <v>0.30000000000000004</v>
      </c>
      <c r="N78" s="43">
        <v>0.06</v>
      </c>
      <c r="O78" s="9">
        <v>0.23</v>
      </c>
      <c r="P78" s="9">
        <v>0.06</v>
      </c>
      <c r="Q78" s="13">
        <v>0.01</v>
      </c>
      <c r="R78" s="10">
        <v>0.04</v>
      </c>
      <c r="S78" s="40" t="s">
        <v>87</v>
      </c>
      <c r="T78" s="41">
        <f t="shared" si="673"/>
        <v>1.0760000000000001</v>
      </c>
      <c r="U78" s="41">
        <f t="shared" si="674"/>
        <v>0.97899999999999998</v>
      </c>
      <c r="V78" s="42">
        <f t="shared" si="675"/>
        <v>11.2</v>
      </c>
      <c r="W78" s="43">
        <f t="shared" si="676"/>
        <v>6.3330000000000002</v>
      </c>
      <c r="X78" s="9">
        <f t="shared" si="677"/>
        <v>11.609</v>
      </c>
      <c r="Y78" s="9">
        <f t="shared" si="678"/>
        <v>10</v>
      </c>
      <c r="Z78" s="13">
        <f t="shared" si="679"/>
        <v>9</v>
      </c>
      <c r="AA78" s="10">
        <f t="shared" si="680"/>
        <v>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2026-10-08T13:00:29Z</dcterms:modified>
</cp:coreProperties>
</file>