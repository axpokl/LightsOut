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A703F5F7-5A89-4FEE-9336-BA81F180CF1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0" i="2" l="1"/>
  <c r="Z20" i="2"/>
  <c r="Y20" i="2"/>
  <c r="X20" i="2"/>
  <c r="W20" i="2"/>
  <c r="V20" i="2"/>
  <c r="U20" i="2"/>
  <c r="T20" i="2"/>
  <c r="M20" i="2"/>
  <c r="L20" i="2"/>
  <c r="K20" i="2"/>
  <c r="D20" i="2"/>
  <c r="C20" i="2"/>
  <c r="B20" i="2"/>
  <c r="AA19" i="2"/>
  <c r="Z19" i="2"/>
  <c r="Y19" i="2"/>
  <c r="X19" i="2"/>
  <c r="W19" i="2"/>
  <c r="M19" i="2"/>
  <c r="D19" i="2"/>
  <c r="D2" i="2"/>
  <c r="D3" i="2"/>
  <c r="D4" i="2"/>
  <c r="D5" i="2"/>
  <c r="D6" i="2"/>
  <c r="D7" i="2"/>
  <c r="B7" i="2" s="1"/>
  <c r="D8" i="2"/>
  <c r="D9" i="2"/>
  <c r="D10" i="2"/>
  <c r="B10" i="2" s="1"/>
  <c r="D11" i="2"/>
  <c r="B11" i="2" s="1"/>
  <c r="D12" i="2"/>
  <c r="B12" i="2" s="1"/>
  <c r="D13" i="2"/>
  <c r="C13" i="2" s="1"/>
  <c r="D14" i="2"/>
  <c r="B14" i="2" s="1"/>
  <c r="D15" i="2"/>
  <c r="D16" i="2"/>
  <c r="D17" i="2"/>
  <c r="D18" i="2"/>
  <c r="W18" i="2"/>
  <c r="X18" i="2"/>
  <c r="Y18" i="2"/>
  <c r="Z18" i="2"/>
  <c r="AA18" i="2"/>
  <c r="M18" i="2"/>
  <c r="AA17" i="2"/>
  <c r="Z17" i="2"/>
  <c r="Y17" i="2"/>
  <c r="X17" i="2"/>
  <c r="W17" i="2"/>
  <c r="M17" i="2"/>
  <c r="K17" i="2" s="1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B4" i="2" l="1"/>
  <c r="C6" i="2"/>
  <c r="B5" i="2"/>
  <c r="B19" i="2"/>
  <c r="C3" i="2"/>
  <c r="V19" i="2"/>
  <c r="B18" i="2"/>
  <c r="B16" i="2"/>
  <c r="B17" i="2"/>
  <c r="C19" i="2"/>
  <c r="L19" i="2"/>
  <c r="K19" i="2"/>
  <c r="T19" i="2" s="1"/>
  <c r="K18" i="2"/>
  <c r="T18" i="2" s="1"/>
  <c r="B3" i="2"/>
  <c r="B9" i="2"/>
  <c r="C16" i="2"/>
  <c r="C9" i="2"/>
  <c r="V18" i="2"/>
  <c r="B15" i="2"/>
  <c r="C7" i="2"/>
  <c r="B13" i="2"/>
  <c r="C15" i="2"/>
  <c r="B8" i="2"/>
  <c r="B6" i="2"/>
  <c r="C5" i="2"/>
  <c r="C11" i="2"/>
  <c r="C4" i="2"/>
  <c r="C17" i="2"/>
  <c r="C10" i="2"/>
  <c r="C8" i="2"/>
  <c r="C14" i="2"/>
  <c r="C12" i="2"/>
  <c r="C18" i="2"/>
  <c r="L18" i="2"/>
  <c r="L17" i="2"/>
  <c r="T17" i="2"/>
  <c r="V17" i="2"/>
  <c r="V2" i="2"/>
  <c r="V13" i="2"/>
  <c r="L5" i="2"/>
  <c r="L15" i="2"/>
  <c r="V10" i="2"/>
  <c r="K10" i="2"/>
  <c r="K9" i="2"/>
  <c r="V11" i="2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L9" i="2"/>
  <c r="L16" i="2"/>
  <c r="V16" i="2"/>
  <c r="K16" i="2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V14" i="2"/>
  <c r="V12" i="2"/>
  <c r="U19" i="2" l="1"/>
  <c r="U17" i="2"/>
  <c r="T6" i="2"/>
  <c r="U18" i="2"/>
  <c r="T7" i="2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<sst xmlns="http://schemas.openxmlformats.org/spreadsheetml/2006/main" count="84" uniqueCount="32">
  <si>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</si>
  <si>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</si>
  <si>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</si>
  <si>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</si>
  <si>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</si>
  <si>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</si>
  <si>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</si>
  <si>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</si>
  <si>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</si>
  <si>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</si>
  <si>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</si>
  <si>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</si>
  <si>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</si>
  <si>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</si>
  <si>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</si>
  <si>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</si>
  <si>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</si>
  <si>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</si>
  <si>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</si>
  <si>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</si>
  <si>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</si>
  <si>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</si>
  <si>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</si>
  <si>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</si>
  <si>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</si>
  <si>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</si>
  <si>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</si>
  <si>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</si>
  <si>
    <t>H37</t>
    <phoneticPr fontId="2" type="noConversion"/>
  </si>
  <si>
    <t>H38</t>
    <phoneticPr fontId="2" type="noConversion"/>
  </si>
  <si>
    <t>H39</t>
    <phoneticPr fontId="2" type="noConversion"/>
  </si>
  <si>
    <t>H40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</si>
</sst>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0"/>
  <sheetViews>
    <sheetView tabSelected="1" workbookViewId="0">
      <selection activeCell="AA20" sqref="AA20"/>
    </sheetView>
  </sheetViews>
  <sheetFormatPr defaultColWidth="7.625" defaultRowHeight="14.25" customHeight="1" x14ac:dyDescent="0.2"/>
  <cols>
    <col min="1" max="1" width="7.625" style="13"/>
    <col min="2" max="3" width="7.625" style="9"/>
    <col min="4" max="4" width="7.625" style="9" customWidth="1"/>
    <col min="5" max="8" width="7.625" style="9"/>
    <col min="9" max="9" width="7.625" style="10"/>
    <col min="10" max="10" width="7.625" style="13"/>
    <col min="11" max="17" width="7.625" style="9"/>
    <col min="18" max="18" width="7.625" style="10"/>
    <col min="19" max="19" width="7.625" style="13"/>
    <col min="20" max="26" width="7.625" style="9"/>
    <col min="27" max="27" width="7.625" style="10"/>
    <col min="28" max="28" width="7.625" style="13"/>
    <col min="29" max="16384" width="7.625" style="9"/>
  </cols>
  <sheetData>
    <row r="1" spans="1:27" ht="14.25" customHeight="1" x14ac:dyDescent="0.2">
      <c r="A1" s="11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2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2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391.68</v>
      </c>
      <c r="E2" s="5">
        <v>372.69</v>
      </c>
      <c r="F2" s="8">
        <v>140.16</v>
      </c>
      <c r="G2" s="8">
        <v>115.45</v>
      </c>
      <c r="H2" s="8">
        <v>136.07</v>
      </c>
      <c r="I2" s="7">
        <v>223.78</v>
      </c>
      <c r="J2" s="16" t="s">
        <v>0</v>
      </c>
      <c r="K2" s="5">
        <v>1</v>
      </c>
      <c r="L2" s="5">
        <v>1</v>
      </c>
      <c r="M2" s="4">
        <f>SUM(O2:Q2)</f>
        <v>32.869999999999997</v>
      </c>
      <c r="N2" s="5">
        <v>68.569999999999993</v>
      </c>
      <c r="O2" s="8">
        <v>4.99</v>
      </c>
      <c r="P2" s="8">
        <v>12.19</v>
      </c>
      <c r="Q2" s="8">
        <v>15.69</v>
      </c>
      <c r="R2" s="7">
        <v>26.66</v>
      </c>
      <c r="S2" s="16" t="s">
        <v>0</v>
      </c>
      <c r="T2" s="5">
        <f t="shared" ref="T2:T16" si="0">ROUND(B2/K2,3)</f>
        <v>1</v>
      </c>
      <c r="U2" s="5">
        <f t="shared" ref="U2:U16" si="1">ROUND(C2/L2,3)</f>
        <v>1</v>
      </c>
      <c r="V2" s="4">
        <f t="shared" ref="V2:V16" si="2">ROUND(D2/M2,3)</f>
        <v>11.916</v>
      </c>
      <c r="W2" s="5">
        <f t="shared" ref="W2:W14" si="3">ROUND(E2/N2,3)</f>
        <v>5.4349999999999996</v>
      </c>
      <c r="X2" s="8">
        <f t="shared" ref="X2:X14" si="4">ROUND(F2/O2,3)</f>
        <v>28.088000000000001</v>
      </c>
      <c r="Y2" s="8">
        <f t="shared" ref="Y2:Y14" si="5">ROUND(G2/P2,3)</f>
        <v>9.4710000000000001</v>
      </c>
      <c r="Z2" s="8">
        <f t="shared" ref="Z2:Z14" si="6">ROUND(H2/Q2,3)</f>
        <v>8.6720000000000006</v>
      </c>
      <c r="AA2" s="7">
        <f t="shared" ref="AA2:AA14" si="7">ROUND(I2/R2,3)</f>
        <v>8.3940000000000001</v>
      </c>
    </row>
    <row r="3" spans="1:27" ht="14.25" customHeight="1" x14ac:dyDescent="0.2">
      <c r="A3" s="16" t="s">
        <v>1</v>
      </c>
      <c r="B3" s="2">
        <f>D$2/D3</f>
        <v>1.5574996023540639</v>
      </c>
      <c r="C3" s="2">
        <f>D2/D3</f>
        <v>1.5574996023540639</v>
      </c>
      <c r="D3" s="6">
        <f t="shared" ref="D3:D14" si="8">SUM(F3:H3)</f>
        <v>251.48000000000002</v>
      </c>
      <c r="E3" s="5">
        <v>365.53</v>
      </c>
      <c r="F3" s="8">
        <v>134.85</v>
      </c>
      <c r="G3" s="8">
        <v>114.51</v>
      </c>
      <c r="H3" s="1">
        <v>2.12</v>
      </c>
      <c r="I3" s="7">
        <v>219.12</v>
      </c>
      <c r="J3" s="16" t="s">
        <v>1</v>
      </c>
      <c r="K3" s="2">
        <f>M$2/M3</f>
        <v>1.8697383390216151</v>
      </c>
      <c r="L3" s="2">
        <f>M2/M3</f>
        <v>1.8697383390216151</v>
      </c>
      <c r="M3" s="6">
        <f t="shared" ref="M3:M16" si="9">SUM(O3:Q3)</f>
        <v>17.580000000000002</v>
      </c>
      <c r="N3" s="5">
        <v>68.42</v>
      </c>
      <c r="O3" s="8">
        <v>4.8600000000000003</v>
      </c>
      <c r="P3" s="8">
        <v>12.26</v>
      </c>
      <c r="Q3" s="1">
        <v>0.46</v>
      </c>
      <c r="R3" s="7">
        <v>26.59</v>
      </c>
      <c r="S3" s="16" t="s">
        <v>1</v>
      </c>
      <c r="T3" s="2">
        <f t="shared" si="0"/>
        <v>0.83299999999999996</v>
      </c>
      <c r="U3" s="2">
        <f t="shared" si="1"/>
        <v>0.83299999999999996</v>
      </c>
      <c r="V3" s="6">
        <f t="shared" si="2"/>
        <v>14.305</v>
      </c>
      <c r="W3" s="5">
        <f t="shared" si="3"/>
        <v>5.3419999999999996</v>
      </c>
      <c r="X3" s="8">
        <f t="shared" si="4"/>
        <v>27.747</v>
      </c>
      <c r="Y3" s="8">
        <f t="shared" si="5"/>
        <v>9.34</v>
      </c>
      <c r="Z3" s="1">
        <f t="shared" si="6"/>
        <v>4.609</v>
      </c>
      <c r="AA3" s="7">
        <f t="shared" si="7"/>
        <v>8.2409999999999997</v>
      </c>
    </row>
    <row r="4" spans="1:27" ht="14.25" customHeight="1" x14ac:dyDescent="0.2">
      <c r="A4" s="16" t="s">
        <v>2</v>
      </c>
      <c r="B4" s="2">
        <f t="shared" ref="B4:B12" si="10">D$2/D4</f>
        <v>1.9913569576490926</v>
      </c>
      <c r="C4" s="2">
        <f t="shared" ref="C4:C12" si="11">D3/D4</f>
        <v>1.2785601708271901</v>
      </c>
      <c r="D4" s="6">
        <f t="shared" si="8"/>
        <v>196.69</v>
      </c>
      <c r="E4" s="5">
        <v>369.35</v>
      </c>
      <c r="F4" s="1">
        <v>72.650000000000006</v>
      </c>
      <c r="G4" s="8">
        <v>121.84</v>
      </c>
      <c r="H4" s="8">
        <v>2.2000000000000002</v>
      </c>
      <c r="I4" s="7">
        <v>215.94</v>
      </c>
      <c r="J4" s="16" t="s">
        <v>2</v>
      </c>
      <c r="K4" s="2">
        <f t="shared" ref="K4:K12" si="12">M$2/M4</f>
        <v>2.0030469226081657</v>
      </c>
      <c r="L4" s="2">
        <f t="shared" ref="L4:L12" si="13">M3/M4</f>
        <v>1.0712979890310788</v>
      </c>
      <c r="M4" s="6">
        <f t="shared" si="9"/>
        <v>16.41</v>
      </c>
      <c r="N4" s="5">
        <v>69.11</v>
      </c>
      <c r="O4" s="1">
        <v>3.65</v>
      </c>
      <c r="P4" s="8">
        <v>12.29</v>
      </c>
      <c r="Q4" s="8">
        <v>0.47</v>
      </c>
      <c r="R4" s="7">
        <v>26.68</v>
      </c>
      <c r="S4" s="16" t="s">
        <v>2</v>
      </c>
      <c r="T4" s="2">
        <f t="shared" si="0"/>
        <v>0.99399999999999999</v>
      </c>
      <c r="U4" s="2">
        <f t="shared" si="1"/>
        <v>1.1930000000000001</v>
      </c>
      <c r="V4" s="6">
        <f t="shared" si="2"/>
        <v>11.986000000000001</v>
      </c>
      <c r="W4" s="5">
        <f t="shared" si="3"/>
        <v>5.3440000000000003</v>
      </c>
      <c r="X4" s="1">
        <f t="shared" si="4"/>
        <v>19.904</v>
      </c>
      <c r="Y4" s="8">
        <f t="shared" si="5"/>
        <v>9.9139999999999997</v>
      </c>
      <c r="Z4" s="8">
        <f t="shared" si="6"/>
        <v>4.681</v>
      </c>
      <c r="AA4" s="7">
        <f t="shared" si="7"/>
        <v>8.0939999999999994</v>
      </c>
    </row>
    <row r="5" spans="1:27" ht="14.25" customHeight="1" x14ac:dyDescent="0.2">
      <c r="A5" s="16" t="s">
        <v>3</v>
      </c>
      <c r="B5" s="2">
        <f t="shared" si="10"/>
        <v>2.2487082328625561</v>
      </c>
      <c r="C5" s="2">
        <f t="shared" si="11"/>
        <v>1.1292341256171776</v>
      </c>
      <c r="D5" s="6">
        <f t="shared" si="8"/>
        <v>174.18</v>
      </c>
      <c r="E5" s="5">
        <v>364.67</v>
      </c>
      <c r="F5" s="8">
        <v>73.83</v>
      </c>
      <c r="G5" s="1">
        <v>98.15</v>
      </c>
      <c r="H5" s="8">
        <v>2.2000000000000002</v>
      </c>
      <c r="I5" s="7">
        <v>217.76</v>
      </c>
      <c r="J5" s="16" t="s">
        <v>3</v>
      </c>
      <c r="K5" s="2">
        <f t="shared" si="12"/>
        <v>3.6280353200882991</v>
      </c>
      <c r="L5" s="2">
        <f t="shared" si="13"/>
        <v>1.811258278145695</v>
      </c>
      <c r="M5" s="6">
        <f t="shared" si="9"/>
        <v>9.0600000000000023</v>
      </c>
      <c r="N5" s="5">
        <v>65.209999999999994</v>
      </c>
      <c r="O5" s="8">
        <v>3.66</v>
      </c>
      <c r="P5" s="1">
        <v>4.9400000000000004</v>
      </c>
      <c r="Q5" s="8">
        <v>0.46</v>
      </c>
      <c r="R5" s="7">
        <v>26.2</v>
      </c>
      <c r="S5" s="16" t="s">
        <v>3</v>
      </c>
      <c r="T5" s="2">
        <f t="shared" si="0"/>
        <v>0.62</v>
      </c>
      <c r="U5" s="2">
        <f t="shared" si="1"/>
        <v>0.623</v>
      </c>
      <c r="V5" s="6">
        <f t="shared" si="2"/>
        <v>19.225000000000001</v>
      </c>
      <c r="W5" s="5">
        <f t="shared" si="3"/>
        <v>5.5919999999999996</v>
      </c>
      <c r="X5" s="8">
        <f t="shared" si="4"/>
        <v>20.172000000000001</v>
      </c>
      <c r="Y5" s="1">
        <f t="shared" si="5"/>
        <v>19.867999999999999</v>
      </c>
      <c r="Z5" s="8">
        <f t="shared" si="6"/>
        <v>4.7830000000000004</v>
      </c>
      <c r="AA5" s="7">
        <f t="shared" si="7"/>
        <v>8.3109999999999999</v>
      </c>
    </row>
    <row r="6" spans="1:27" ht="14.25" customHeight="1" x14ac:dyDescent="0.2">
      <c r="A6" s="16" t="s">
        <v>4</v>
      </c>
      <c r="B6" s="5">
        <f t="shared" si="10"/>
        <v>2.260779220779221</v>
      </c>
      <c r="C6" s="5">
        <f t="shared" si="11"/>
        <v>1.0053679653679655</v>
      </c>
      <c r="D6" s="4">
        <f t="shared" si="8"/>
        <v>173.25</v>
      </c>
      <c r="E6" s="5">
        <v>355.68</v>
      </c>
      <c r="F6" s="8">
        <v>73.319999999999993</v>
      </c>
      <c r="G6" s="8">
        <v>97.66</v>
      </c>
      <c r="H6" s="8">
        <v>2.27</v>
      </c>
      <c r="I6" s="3">
        <v>79.650000000000006</v>
      </c>
      <c r="J6" s="16" t="s">
        <v>4</v>
      </c>
      <c r="K6" s="5">
        <f t="shared" si="12"/>
        <v>3.6280353200882995</v>
      </c>
      <c r="L6" s="5">
        <f t="shared" si="13"/>
        <v>1.0000000000000002</v>
      </c>
      <c r="M6" s="4">
        <f t="shared" si="9"/>
        <v>9.06</v>
      </c>
      <c r="N6" s="5">
        <v>67.66</v>
      </c>
      <c r="O6" s="8">
        <v>3.66</v>
      </c>
      <c r="P6" s="8">
        <v>4.92</v>
      </c>
      <c r="Q6" s="8">
        <v>0.48</v>
      </c>
      <c r="R6" s="3">
        <v>4.4800000000000004</v>
      </c>
      <c r="S6" s="16" t="s">
        <v>4</v>
      </c>
      <c r="T6" s="5">
        <f t="shared" si="0"/>
        <v>0.623</v>
      </c>
      <c r="U6" s="5">
        <f t="shared" si="1"/>
        <v>1.0049999999999999</v>
      </c>
      <c r="V6" s="4">
        <f t="shared" si="2"/>
        <v>19.123000000000001</v>
      </c>
      <c r="W6" s="5">
        <f t="shared" si="3"/>
        <v>5.2569999999999997</v>
      </c>
      <c r="X6" s="8">
        <f t="shared" si="4"/>
        <v>20.033000000000001</v>
      </c>
      <c r="Y6" s="8">
        <f t="shared" si="5"/>
        <v>19.850000000000001</v>
      </c>
      <c r="Z6" s="8">
        <f t="shared" si="6"/>
        <v>4.7290000000000001</v>
      </c>
      <c r="AA6" s="3">
        <f t="shared" si="7"/>
        <v>17.779</v>
      </c>
    </row>
    <row r="7" spans="1:27" ht="14.25" customHeight="1" x14ac:dyDescent="0.2">
      <c r="A7" s="16" t="s">
        <v>5</v>
      </c>
      <c r="B7" s="5">
        <f t="shared" si="10"/>
        <v>2.1988435412339302</v>
      </c>
      <c r="C7" s="5">
        <f t="shared" si="11"/>
        <v>0.97260427777465885</v>
      </c>
      <c r="D7" s="4">
        <f t="shared" si="8"/>
        <v>178.13000000000002</v>
      </c>
      <c r="E7" s="5">
        <v>361.32</v>
      </c>
      <c r="F7" s="8">
        <v>79.7</v>
      </c>
      <c r="G7" s="8">
        <v>97.35</v>
      </c>
      <c r="H7" s="1">
        <v>1.08</v>
      </c>
      <c r="I7" s="7">
        <v>80.17</v>
      </c>
      <c r="J7" s="16" t="s">
        <v>5</v>
      </c>
      <c r="K7" s="5">
        <f t="shared" si="12"/>
        <v>3.6932584269662918</v>
      </c>
      <c r="L7" s="5">
        <f t="shared" si="13"/>
        <v>1.0179775280898877</v>
      </c>
      <c r="M7" s="4">
        <f t="shared" si="9"/>
        <v>8.9</v>
      </c>
      <c r="N7" s="5">
        <v>76.17</v>
      </c>
      <c r="O7" s="8">
        <v>3.68</v>
      </c>
      <c r="P7" s="8">
        <v>5.03</v>
      </c>
      <c r="Q7" s="1">
        <v>0.19</v>
      </c>
      <c r="R7" s="7">
        <v>4.4800000000000004</v>
      </c>
      <c r="S7" s="16" t="s">
        <v>5</v>
      </c>
      <c r="T7" s="5">
        <f t="shared" si="0"/>
        <v>0.59499999999999997</v>
      </c>
      <c r="U7" s="5">
        <f t="shared" si="1"/>
        <v>0.95499999999999996</v>
      </c>
      <c r="V7" s="4">
        <f t="shared" si="2"/>
        <v>20.015000000000001</v>
      </c>
      <c r="W7" s="5">
        <f t="shared" si="3"/>
        <v>4.7439999999999998</v>
      </c>
      <c r="X7" s="8">
        <f t="shared" si="4"/>
        <v>21.658000000000001</v>
      </c>
      <c r="Y7" s="8">
        <f t="shared" si="5"/>
        <v>19.353999999999999</v>
      </c>
      <c r="Z7" s="1">
        <f t="shared" si="6"/>
        <v>5.6840000000000002</v>
      </c>
      <c r="AA7" s="7">
        <f t="shared" si="7"/>
        <v>17.895</v>
      </c>
    </row>
    <row r="8" spans="1:27" ht="14.25" customHeight="1" x14ac:dyDescent="0.2">
      <c r="A8" s="16" t="s">
        <v>6</v>
      </c>
      <c r="B8" s="5">
        <f t="shared" si="10"/>
        <v>2.1740674955595027</v>
      </c>
      <c r="C8" s="5">
        <f t="shared" si="11"/>
        <v>0.98873223801065735</v>
      </c>
      <c r="D8" s="4">
        <f t="shared" si="8"/>
        <v>180.16</v>
      </c>
      <c r="E8" s="5">
        <v>468.52</v>
      </c>
      <c r="F8" s="8">
        <v>80.599999999999994</v>
      </c>
      <c r="G8" s="8">
        <v>98.54</v>
      </c>
      <c r="H8" s="8">
        <v>1.02</v>
      </c>
      <c r="I8" s="7">
        <v>82.18</v>
      </c>
      <c r="J8" s="16" t="s">
        <v>6</v>
      </c>
      <c r="K8" s="5">
        <f t="shared" si="12"/>
        <v>3.7912341407151091</v>
      </c>
      <c r="L8" s="5">
        <f t="shared" si="13"/>
        <v>1.0265282583621684</v>
      </c>
      <c r="M8" s="4">
        <f t="shared" si="9"/>
        <v>8.67</v>
      </c>
      <c r="N8" s="5">
        <v>89.32</v>
      </c>
      <c r="O8" s="8">
        <v>3.56</v>
      </c>
      <c r="P8" s="8">
        <v>4.93</v>
      </c>
      <c r="Q8" s="8">
        <v>0.18</v>
      </c>
      <c r="R8" s="7">
        <v>4.4800000000000004</v>
      </c>
      <c r="S8" s="16" t="s">
        <v>6</v>
      </c>
      <c r="T8" s="5">
        <f t="shared" si="0"/>
        <v>0.57299999999999995</v>
      </c>
      <c r="U8" s="5">
        <f t="shared" si="1"/>
        <v>0.96299999999999997</v>
      </c>
      <c r="V8" s="4">
        <f t="shared" si="2"/>
        <v>20.78</v>
      </c>
      <c r="W8" s="5">
        <f t="shared" si="3"/>
        <v>5.2450000000000001</v>
      </c>
      <c r="X8" s="8">
        <f t="shared" si="4"/>
        <v>22.64</v>
      </c>
      <c r="Y8" s="8">
        <f t="shared" si="5"/>
        <v>19.988</v>
      </c>
      <c r="Z8" s="8">
        <f t="shared" si="6"/>
        <v>5.6669999999999998</v>
      </c>
      <c r="AA8" s="7">
        <f t="shared" si="7"/>
        <v>18.344000000000001</v>
      </c>
    </row>
    <row r="9" spans="1:27" ht="14.25" customHeight="1" x14ac:dyDescent="0.2">
      <c r="A9" s="16" t="s">
        <v>7</v>
      </c>
      <c r="B9" s="5">
        <f t="shared" si="10"/>
        <v>2.2244434348023625</v>
      </c>
      <c r="C9" s="5">
        <f t="shared" si="11"/>
        <v>1.0231712857791913</v>
      </c>
      <c r="D9" s="4">
        <f t="shared" si="8"/>
        <v>176.08</v>
      </c>
      <c r="E9" s="5">
        <v>465.99</v>
      </c>
      <c r="F9" s="8">
        <v>78.61</v>
      </c>
      <c r="G9" s="8">
        <v>96.48</v>
      </c>
      <c r="H9" s="8">
        <v>0.99</v>
      </c>
      <c r="I9" s="7">
        <v>78.36</v>
      </c>
      <c r="J9" s="16" t="s">
        <v>7</v>
      </c>
      <c r="K9" s="5">
        <f t="shared" si="12"/>
        <v>3.6002190580503837</v>
      </c>
      <c r="L9" s="5">
        <f t="shared" si="13"/>
        <v>0.94961664841182925</v>
      </c>
      <c r="M9" s="4">
        <f t="shared" si="9"/>
        <v>9.129999999999999</v>
      </c>
      <c r="N9" s="5">
        <v>89.84</v>
      </c>
      <c r="O9" s="8">
        <v>3.77</v>
      </c>
      <c r="P9" s="8">
        <v>5.16</v>
      </c>
      <c r="Q9" s="8">
        <v>0.2</v>
      </c>
      <c r="R9" s="7">
        <v>4.67</v>
      </c>
      <c r="S9" s="16" t="s">
        <v>7</v>
      </c>
      <c r="T9" s="5">
        <f t="shared" si="0"/>
        <v>0.61799999999999999</v>
      </c>
      <c r="U9" s="5">
        <f t="shared" si="1"/>
        <v>1.077</v>
      </c>
      <c r="V9" s="4">
        <f t="shared" si="2"/>
        <v>19.286000000000001</v>
      </c>
      <c r="W9" s="5">
        <f t="shared" si="3"/>
        <v>5.1870000000000003</v>
      </c>
      <c r="X9" s="8">
        <f t="shared" si="4"/>
        <v>20.850999999999999</v>
      </c>
      <c r="Y9" s="8">
        <f t="shared" si="5"/>
        <v>18.698</v>
      </c>
      <c r="Z9" s="8">
        <f t="shared" si="6"/>
        <v>4.95</v>
      </c>
      <c r="AA9" s="7">
        <f t="shared" si="7"/>
        <v>16.779</v>
      </c>
    </row>
    <row r="10" spans="1:27" ht="14.25" customHeight="1" x14ac:dyDescent="0.2">
      <c r="A10" s="16" t="s">
        <v>8</v>
      </c>
      <c r="B10" s="5">
        <f t="shared" si="10"/>
        <v>2.2100095920555214</v>
      </c>
      <c r="C10" s="5">
        <f t="shared" si="11"/>
        <v>0.99351125655927341</v>
      </c>
      <c r="D10" s="4">
        <f t="shared" si="8"/>
        <v>177.23</v>
      </c>
      <c r="E10" s="2">
        <v>241.42</v>
      </c>
      <c r="F10" s="8">
        <v>79.81</v>
      </c>
      <c r="G10" s="8">
        <v>96.38</v>
      </c>
      <c r="H10" s="8">
        <v>1.04</v>
      </c>
      <c r="I10" s="7">
        <v>78.36</v>
      </c>
      <c r="J10" s="16" t="s">
        <v>8</v>
      </c>
      <c r="K10" s="5">
        <f t="shared" si="12"/>
        <v>3.6808510638297869</v>
      </c>
      <c r="L10" s="5">
        <f t="shared" si="13"/>
        <v>1.0223964165733481</v>
      </c>
      <c r="M10" s="4">
        <f t="shared" si="9"/>
        <v>8.93</v>
      </c>
      <c r="N10" s="2">
        <v>77.58</v>
      </c>
      <c r="O10" s="8">
        <v>3.65</v>
      </c>
      <c r="P10" s="8">
        <v>5.08</v>
      </c>
      <c r="Q10" s="8">
        <v>0.2</v>
      </c>
      <c r="R10" s="7">
        <v>4.55</v>
      </c>
      <c r="S10" s="16" t="s">
        <v>8</v>
      </c>
      <c r="T10" s="5">
        <f t="shared" si="0"/>
        <v>0.6</v>
      </c>
      <c r="U10" s="5">
        <f t="shared" si="1"/>
        <v>0.97199999999999998</v>
      </c>
      <c r="V10" s="4">
        <f t="shared" si="2"/>
        <v>19.847000000000001</v>
      </c>
      <c r="W10" s="2">
        <f t="shared" si="3"/>
        <v>3.1120000000000001</v>
      </c>
      <c r="X10" s="8">
        <f t="shared" si="4"/>
        <v>21.866</v>
      </c>
      <c r="Y10" s="8">
        <f t="shared" si="5"/>
        <v>18.972000000000001</v>
      </c>
      <c r="Z10" s="8">
        <f t="shared" si="6"/>
        <v>5.2</v>
      </c>
      <c r="AA10" s="7">
        <f t="shared" si="7"/>
        <v>17.222000000000001</v>
      </c>
    </row>
    <row r="11" spans="1:27" ht="14.25" customHeight="1" x14ac:dyDescent="0.2">
      <c r="A11" s="16" t="s">
        <v>9</v>
      </c>
      <c r="B11" s="2">
        <f t="shared" si="10"/>
        <v>2.7175466592659405</v>
      </c>
      <c r="C11" s="2">
        <f t="shared" si="11"/>
        <v>1.2296537847776312</v>
      </c>
      <c r="D11" s="6">
        <f t="shared" si="8"/>
        <v>144.13</v>
      </c>
      <c r="E11" s="5">
        <v>206.67</v>
      </c>
      <c r="F11" s="1">
        <v>42.84</v>
      </c>
      <c r="G11" s="8">
        <v>100.16</v>
      </c>
      <c r="H11" s="8">
        <v>1.1299999999999999</v>
      </c>
      <c r="I11" s="7">
        <v>89.04</v>
      </c>
      <c r="J11" s="16" t="s">
        <v>9</v>
      </c>
      <c r="K11" s="2">
        <f t="shared" si="12"/>
        <v>4.0183374083129584</v>
      </c>
      <c r="L11" s="2">
        <f t="shared" si="13"/>
        <v>1.0916870415647921</v>
      </c>
      <c r="M11" s="6">
        <f t="shared" si="9"/>
        <v>8.18</v>
      </c>
      <c r="N11" s="5">
        <v>74.05</v>
      </c>
      <c r="O11" s="1">
        <v>1.42</v>
      </c>
      <c r="P11" s="8">
        <v>6.57</v>
      </c>
      <c r="Q11" s="8">
        <v>0.19</v>
      </c>
      <c r="R11" s="7">
        <v>6.04</v>
      </c>
      <c r="S11" s="16" t="s">
        <v>9</v>
      </c>
      <c r="T11" s="2">
        <f t="shared" si="0"/>
        <v>0.67600000000000005</v>
      </c>
      <c r="U11" s="2">
        <f t="shared" si="1"/>
        <v>1.1259999999999999</v>
      </c>
      <c r="V11" s="6">
        <f t="shared" si="2"/>
        <v>17.62</v>
      </c>
      <c r="W11" s="5">
        <f t="shared" si="3"/>
        <v>2.7909999999999999</v>
      </c>
      <c r="X11" s="1">
        <f t="shared" si="4"/>
        <v>30.169</v>
      </c>
      <c r="Y11" s="8">
        <f t="shared" si="5"/>
        <v>15.244999999999999</v>
      </c>
      <c r="Z11" s="8">
        <f t="shared" si="6"/>
        <v>5.9470000000000001</v>
      </c>
      <c r="AA11" s="7">
        <f t="shared" si="7"/>
        <v>14.742000000000001</v>
      </c>
    </row>
    <row r="12" spans="1:27" ht="14.25" customHeight="1" x14ac:dyDescent="0.2">
      <c r="A12" s="16" t="s">
        <v>10</v>
      </c>
      <c r="B12" s="2">
        <f t="shared" si="10"/>
        <v>2.9690721649484533</v>
      </c>
      <c r="C12" s="2">
        <f t="shared" si="11"/>
        <v>1.0925560946027895</v>
      </c>
      <c r="D12" s="6">
        <f t="shared" si="8"/>
        <v>131.92000000000002</v>
      </c>
      <c r="E12" s="5">
        <v>209.07</v>
      </c>
      <c r="F12" s="8">
        <v>43.17</v>
      </c>
      <c r="G12" s="1">
        <v>87.7</v>
      </c>
      <c r="H12" s="8">
        <v>1.05</v>
      </c>
      <c r="I12" s="3">
        <v>71.48</v>
      </c>
      <c r="J12" s="16" t="s">
        <v>10</v>
      </c>
      <c r="K12" s="2">
        <f t="shared" si="12"/>
        <v>5.2009493670886071</v>
      </c>
      <c r="L12" s="2">
        <f t="shared" si="13"/>
        <v>1.2943037974683542</v>
      </c>
      <c r="M12" s="6">
        <f t="shared" si="9"/>
        <v>6.32</v>
      </c>
      <c r="N12" s="5">
        <v>73.63</v>
      </c>
      <c r="O12" s="8">
        <v>1.3</v>
      </c>
      <c r="P12" s="1">
        <v>4.83</v>
      </c>
      <c r="Q12" s="8">
        <v>0.19</v>
      </c>
      <c r="R12" s="3">
        <v>4.04</v>
      </c>
      <c r="S12" s="16" t="s">
        <v>10</v>
      </c>
      <c r="T12" s="2">
        <f t="shared" si="0"/>
        <v>0.57099999999999995</v>
      </c>
      <c r="U12" s="2">
        <f t="shared" si="1"/>
        <v>0.84399999999999997</v>
      </c>
      <c r="V12" s="6">
        <f t="shared" si="2"/>
        <v>20.873000000000001</v>
      </c>
      <c r="W12" s="5">
        <f t="shared" si="3"/>
        <v>2.839</v>
      </c>
      <c r="X12" s="8">
        <f t="shared" si="4"/>
        <v>33.207999999999998</v>
      </c>
      <c r="Y12" s="1">
        <f t="shared" si="5"/>
        <v>18.157</v>
      </c>
      <c r="Z12" s="8">
        <f t="shared" si="6"/>
        <v>5.5259999999999998</v>
      </c>
      <c r="AA12" s="3">
        <f t="shared" si="7"/>
        <v>17.693000000000001</v>
      </c>
    </row>
    <row r="13" spans="1:27" ht="14.25" customHeight="1" x14ac:dyDescent="0.2">
      <c r="A13" s="17" t="s">
        <v>22</v>
      </c>
      <c r="B13" s="2">
        <f t="shared" ref="B13:B14" si="14">D$2/D13</f>
        <v>3.3684210526315788</v>
      </c>
      <c r="C13" s="2">
        <f t="shared" ref="C13:C14" si="15">D12/D13</f>
        <v>1.1345029239766082</v>
      </c>
      <c r="D13" s="6">
        <f t="shared" si="8"/>
        <v>116.28</v>
      </c>
      <c r="E13" s="5">
        <v>221.39</v>
      </c>
      <c r="F13" s="1">
        <v>25.59</v>
      </c>
      <c r="G13" s="8">
        <v>89.09</v>
      </c>
      <c r="H13" s="8">
        <v>1.6</v>
      </c>
      <c r="I13" s="7">
        <v>71.73</v>
      </c>
      <c r="J13" s="17" t="s">
        <v>22</v>
      </c>
      <c r="K13" s="2">
        <f t="shared" ref="K13:K14" si="16">M$2/M13</f>
        <v>5.6188034188034184</v>
      </c>
      <c r="L13" s="2">
        <f t="shared" ref="L13:L14" si="17">M12/M13</f>
        <v>1.0803418803418805</v>
      </c>
      <c r="M13" s="6">
        <f t="shared" si="9"/>
        <v>5.85</v>
      </c>
      <c r="N13" s="5">
        <v>75.28</v>
      </c>
      <c r="O13" s="1">
        <v>0.89</v>
      </c>
      <c r="P13" s="8">
        <v>4.7699999999999996</v>
      </c>
      <c r="Q13" s="8">
        <v>0.19</v>
      </c>
      <c r="R13" s="7">
        <v>4</v>
      </c>
      <c r="S13" s="17" t="s">
        <v>22</v>
      </c>
      <c r="T13" s="2">
        <f t="shared" si="0"/>
        <v>0.59899999999999998</v>
      </c>
      <c r="U13" s="2">
        <f t="shared" si="1"/>
        <v>1.05</v>
      </c>
      <c r="V13" s="6">
        <f t="shared" si="2"/>
        <v>19.876999999999999</v>
      </c>
      <c r="W13" s="5">
        <f t="shared" si="3"/>
        <v>2.9409999999999998</v>
      </c>
      <c r="X13" s="1">
        <f t="shared" si="4"/>
        <v>28.753</v>
      </c>
      <c r="Y13" s="8">
        <f t="shared" si="5"/>
        <v>18.677</v>
      </c>
      <c r="Z13" s="8">
        <f t="shared" si="6"/>
        <v>8.4209999999999994</v>
      </c>
      <c r="AA13" s="7">
        <f t="shared" si="7"/>
        <v>17.933</v>
      </c>
    </row>
    <row r="14" spans="1:27" ht="14.25" customHeight="1" x14ac:dyDescent="0.2">
      <c r="A14" s="18" t="s">
        <v>23</v>
      </c>
      <c r="B14" s="5">
        <f t="shared" si="14"/>
        <v>3.3888215954317356</v>
      </c>
      <c r="C14" s="5">
        <f t="shared" si="15"/>
        <v>1.0060564111437966</v>
      </c>
      <c r="D14" s="4">
        <f t="shared" si="8"/>
        <v>115.58</v>
      </c>
      <c r="E14" s="5">
        <v>210.13</v>
      </c>
      <c r="F14" s="1">
        <v>25.46</v>
      </c>
      <c r="G14" s="8">
        <v>89.08</v>
      </c>
      <c r="H14" s="8">
        <v>1.04</v>
      </c>
      <c r="I14" s="7">
        <v>72.56</v>
      </c>
      <c r="J14" s="18" t="s">
        <v>23</v>
      </c>
      <c r="K14" s="5">
        <f t="shared" si="16"/>
        <v>5.7165217391304344</v>
      </c>
      <c r="L14" s="5">
        <f t="shared" si="17"/>
        <v>1.017391304347826</v>
      </c>
      <c r="M14" s="4">
        <f t="shared" si="9"/>
        <v>5.75</v>
      </c>
      <c r="N14" s="5">
        <v>73.13</v>
      </c>
      <c r="O14" s="1">
        <v>0.84</v>
      </c>
      <c r="P14" s="8">
        <v>4.72</v>
      </c>
      <c r="Q14" s="8">
        <v>0.19</v>
      </c>
      <c r="R14" s="7">
        <v>3.94</v>
      </c>
      <c r="S14" s="18" t="s">
        <v>23</v>
      </c>
      <c r="T14" s="5">
        <f t="shared" si="0"/>
        <v>0.59299999999999997</v>
      </c>
      <c r="U14" s="5">
        <f t="shared" si="1"/>
        <v>0.98899999999999999</v>
      </c>
      <c r="V14" s="4">
        <f t="shared" si="2"/>
        <v>20.100999999999999</v>
      </c>
      <c r="W14" s="5">
        <f t="shared" si="3"/>
        <v>2.8730000000000002</v>
      </c>
      <c r="X14" s="1">
        <f t="shared" si="4"/>
        <v>30.31</v>
      </c>
      <c r="Y14" s="8">
        <f t="shared" si="5"/>
        <v>18.873000000000001</v>
      </c>
      <c r="Z14" s="8">
        <f t="shared" si="6"/>
        <v>5.4740000000000002</v>
      </c>
      <c r="AA14" s="7">
        <f t="shared" si="7"/>
        <v>18.416</v>
      </c>
    </row>
    <row r="15" spans="1:27" ht="14.25" customHeight="1" x14ac:dyDescent="0.2">
      <c r="A15" s="18" t="s">
        <v>25</v>
      </c>
      <c r="B15" s="2">
        <f t="shared" ref="B15" si="18">D$2/D15</f>
        <v>4.0077765271666834</v>
      </c>
      <c r="C15" s="2">
        <f t="shared" ref="C15" si="19">D14/D15</f>
        <v>1.1826460656911899</v>
      </c>
      <c r="D15" s="6">
        <f>SUM(F15:H15)</f>
        <v>97.73</v>
      </c>
      <c r="E15" s="5">
        <v>209.57</v>
      </c>
      <c r="F15" s="8">
        <v>26.2</v>
      </c>
      <c r="G15" s="1">
        <v>70.55</v>
      </c>
      <c r="H15" s="8">
        <v>0.98</v>
      </c>
      <c r="I15" s="3">
        <v>50.26</v>
      </c>
      <c r="J15" s="18" t="s">
        <v>25</v>
      </c>
      <c r="K15" s="2">
        <f t="shared" ref="K15" si="20">M$2/M15</f>
        <v>6.0422794117647047</v>
      </c>
      <c r="L15" s="2">
        <f t="shared" ref="L15" si="21">M14/M15</f>
        <v>1.056985294117647</v>
      </c>
      <c r="M15" s="6">
        <f t="shared" si="9"/>
        <v>5.44</v>
      </c>
      <c r="N15" s="5">
        <v>75.37</v>
      </c>
      <c r="O15" s="8">
        <v>0.87</v>
      </c>
      <c r="P15" s="1">
        <v>4.37</v>
      </c>
      <c r="Q15" s="8">
        <v>0.2</v>
      </c>
      <c r="R15" s="3">
        <v>3.76</v>
      </c>
      <c r="S15" s="18" t="s">
        <v>25</v>
      </c>
      <c r="T15" s="2">
        <f t="shared" si="0"/>
        <v>0.66300000000000003</v>
      </c>
      <c r="U15" s="2">
        <f t="shared" si="1"/>
        <v>1.119</v>
      </c>
      <c r="V15" s="6">
        <f t="shared" si="2"/>
        <v>17.965</v>
      </c>
      <c r="W15" s="5">
        <f t="shared" ref="W15:AA19" si="22">ROUND(E15/N15,3)</f>
        <v>2.7810000000000001</v>
      </c>
      <c r="X15" s="8">
        <f t="shared" si="22"/>
        <v>30.114999999999998</v>
      </c>
      <c r="Y15" s="1">
        <f t="shared" si="22"/>
        <v>16.143999999999998</v>
      </c>
      <c r="Z15" s="8">
        <f t="shared" si="22"/>
        <v>4.9000000000000004</v>
      </c>
      <c r="AA15" s="3">
        <f t="shared" si="22"/>
        <v>13.367000000000001</v>
      </c>
    </row>
    <row r="16" spans="1:27" ht="14.25" customHeight="1" x14ac:dyDescent="0.2">
      <c r="A16" s="18" t="s">
        <v>27</v>
      </c>
      <c r="B16" s="5">
        <f t="shared" ref="B16" si="23">D$2/D16</f>
        <v>4.0634920634920633</v>
      </c>
      <c r="C16" s="5">
        <f t="shared" ref="C16" si="24">D15/D16</f>
        <v>1.0139018570391121</v>
      </c>
      <c r="D16" s="4">
        <f>SUM(F16:H16)</f>
        <v>96.39</v>
      </c>
      <c r="E16" s="1">
        <v>208.68</v>
      </c>
      <c r="F16" s="8">
        <v>25.49</v>
      </c>
      <c r="G16" s="8">
        <v>69.89</v>
      </c>
      <c r="H16" s="8">
        <v>1.01</v>
      </c>
      <c r="I16" s="7">
        <v>49.77</v>
      </c>
      <c r="J16" s="18" t="s">
        <v>27</v>
      </c>
      <c r="K16" s="5">
        <f t="shared" ref="K16" si="25">M$2/M16</f>
        <v>6.1210428305400368</v>
      </c>
      <c r="L16" s="5">
        <f t="shared" ref="L16" si="26">M15/M16</f>
        <v>1.0130353817504656</v>
      </c>
      <c r="M16" s="4">
        <f t="shared" si="9"/>
        <v>5.37</v>
      </c>
      <c r="N16" s="1">
        <v>10.34</v>
      </c>
      <c r="O16" s="8">
        <v>0.8</v>
      </c>
      <c r="P16" s="8">
        <v>4.37</v>
      </c>
      <c r="Q16" s="8">
        <v>0.2</v>
      </c>
      <c r="R16" s="7">
        <v>3.7</v>
      </c>
      <c r="S16" s="18" t="s">
        <v>27</v>
      </c>
      <c r="T16" s="5">
        <f t="shared" si="0"/>
        <v>0.66400000000000003</v>
      </c>
      <c r="U16" s="5">
        <f t="shared" si="1"/>
        <v>1.0009999999999999</v>
      </c>
      <c r="V16" s="4">
        <f t="shared" si="2"/>
        <v>17.95</v>
      </c>
      <c r="W16" s="1">
        <f t="shared" si="22"/>
        <v>20.181999999999999</v>
      </c>
      <c r="X16" s="8">
        <f t="shared" si="22"/>
        <v>31.863</v>
      </c>
      <c r="Y16" s="8">
        <f t="shared" si="22"/>
        <v>15.993</v>
      </c>
      <c r="Z16" s="8">
        <f t="shared" si="22"/>
        <v>5.05</v>
      </c>
      <c r="AA16" s="7">
        <f t="shared" si="22"/>
        <v>13.451000000000001</v>
      </c>
    </row>
    <row r="17" spans="1:27" ht="14.25" customHeight="1" x14ac:dyDescent="0.2">
      <c r="A17" s="18" t="s">
        <v>28</v>
      </c>
      <c r="B17" s="5">
        <f t="shared" ref="B17" si="27">D$2/D17</f>
        <v>4.0945013589797208</v>
      </c>
      <c r="C17" s="5">
        <f t="shared" ref="C17" si="28">D16/D17</f>
        <v>1.0076311938114155</v>
      </c>
      <c r="D17" s="4">
        <f>SUM(F17:H17)</f>
        <v>95.659999999999982</v>
      </c>
      <c r="E17" s="19">
        <v>205.93</v>
      </c>
      <c r="F17" s="19">
        <v>24.74</v>
      </c>
      <c r="G17" s="14">
        <v>69.959999999999994</v>
      </c>
      <c r="H17" s="19">
        <v>0.96</v>
      </c>
      <c r="I17" s="19">
        <v>48.83</v>
      </c>
      <c r="J17" s="18" t="s">
        <v>28</v>
      </c>
      <c r="K17" s="5">
        <f t="shared" ref="K17" si="29">M$2/M17</f>
        <v>7.2083333333333321</v>
      </c>
      <c r="L17" s="5">
        <f t="shared" ref="L17" si="30">M16/M17</f>
        <v>1.1776315789473684</v>
      </c>
      <c r="M17" s="4">
        <f t="shared" ref="M17" si="31">SUM(O17:Q17)</f>
        <v>4.5600000000000005</v>
      </c>
      <c r="N17" s="19">
        <v>10.66</v>
      </c>
      <c r="O17" s="19">
        <v>0.82</v>
      </c>
      <c r="P17" s="14">
        <v>3.55</v>
      </c>
      <c r="Q17" s="19">
        <v>0.19</v>
      </c>
      <c r="R17" s="19">
        <v>2.95</v>
      </c>
      <c r="S17" s="18" t="s">
        <v>28</v>
      </c>
      <c r="T17" s="5">
        <f t="shared" ref="T17" si="32">ROUND(B17/K17,3)</f>
        <v>0.56799999999999995</v>
      </c>
      <c r="U17" s="5">
        <f t="shared" ref="U17" si="33">ROUND(C17/L17,3)</f>
        <v>0.85599999999999998</v>
      </c>
      <c r="V17" s="4">
        <f t="shared" ref="V17" si="34">ROUND(D17/M17,3)</f>
        <v>20.978000000000002</v>
      </c>
      <c r="W17" s="19">
        <f t="shared" si="22"/>
        <v>19.318000000000001</v>
      </c>
      <c r="X17" s="19">
        <f t="shared" si="22"/>
        <v>30.170999999999999</v>
      </c>
      <c r="Y17" s="14">
        <f t="shared" si="22"/>
        <v>19.707000000000001</v>
      </c>
      <c r="Z17" s="19">
        <f t="shared" si="22"/>
        <v>5.0529999999999999</v>
      </c>
      <c r="AA17" s="19">
        <f t="shared" si="22"/>
        <v>16.553000000000001</v>
      </c>
    </row>
    <row r="18" spans="1:27" ht="14.25" customHeight="1" x14ac:dyDescent="0.2">
      <c r="A18" s="18" t="s">
        <v>29</v>
      </c>
      <c r="B18" s="5">
        <f t="shared" ref="B18" si="35">D$2/D18</f>
        <v>4.0685571829230289</v>
      </c>
      <c r="C18" s="5">
        <f t="shared" ref="C18" si="36">D17/D18</f>
        <v>0.99366365430559866</v>
      </c>
      <c r="D18" s="4">
        <f>SUM(F18:H18)</f>
        <v>96.27</v>
      </c>
      <c r="E18" s="19">
        <v>204.06</v>
      </c>
      <c r="F18" s="19">
        <v>25.06</v>
      </c>
      <c r="G18" s="14">
        <v>70.22</v>
      </c>
      <c r="H18" s="19">
        <v>0.99</v>
      </c>
      <c r="I18" s="15">
        <v>49.89</v>
      </c>
      <c r="J18" s="18" t="s">
        <v>29</v>
      </c>
      <c r="K18" s="5">
        <f t="shared" ref="K18" si="37">M$2/M18</f>
        <v>7.6264501160092797</v>
      </c>
      <c r="L18" s="5">
        <f t="shared" ref="L18" si="38">M17/M18</f>
        <v>1.0580046403712298</v>
      </c>
      <c r="M18" s="4">
        <f t="shared" ref="M18" si="39">SUM(O18:Q18)</f>
        <v>4.3100000000000005</v>
      </c>
      <c r="N18" s="19">
        <v>10.47</v>
      </c>
      <c r="O18" s="19">
        <v>0.82</v>
      </c>
      <c r="P18" s="14">
        <v>3.3</v>
      </c>
      <c r="Q18" s="19">
        <v>0.19</v>
      </c>
      <c r="R18" s="15">
        <v>2.63</v>
      </c>
      <c r="S18" s="18" t="s">
        <v>29</v>
      </c>
      <c r="T18" s="5">
        <f t="shared" ref="T18" si="40">ROUND(B18/K18,3)</f>
        <v>0.53300000000000003</v>
      </c>
      <c r="U18" s="5">
        <f t="shared" ref="U18" si="41">ROUND(C18/L18,3)</f>
        <v>0.93899999999999995</v>
      </c>
      <c r="V18" s="4">
        <f t="shared" ref="V18" si="42">ROUND(D18/M18,3)</f>
        <v>22.335999999999999</v>
      </c>
      <c r="W18" s="19">
        <f t="shared" si="22"/>
        <v>19.489999999999998</v>
      </c>
      <c r="X18" s="19">
        <f t="shared" si="22"/>
        <v>30.561</v>
      </c>
      <c r="Y18" s="14">
        <f t="shared" si="22"/>
        <v>21.279</v>
      </c>
      <c r="Z18" s="19">
        <f t="shared" si="22"/>
        <v>5.2110000000000003</v>
      </c>
      <c r="AA18" s="15">
        <f t="shared" si="22"/>
        <v>18.97</v>
      </c>
    </row>
    <row r="19" spans="1:27" ht="14.25" customHeight="1" x14ac:dyDescent="0.2">
      <c r="A19" s="18" t="s">
        <v>30</v>
      </c>
      <c r="B19" s="5">
        <f t="shared" ref="B19" si="43">D$2/D19</f>
        <v>4.184615384615384</v>
      </c>
      <c r="C19" s="5">
        <f t="shared" ref="C19" si="44">D18/D19</f>
        <v>1.0285256410256409</v>
      </c>
      <c r="D19" s="4">
        <f>SUM(F19:H19)</f>
        <v>93.600000000000009</v>
      </c>
      <c r="E19" s="9">
        <v>210.23</v>
      </c>
      <c r="F19" s="9">
        <v>26.34</v>
      </c>
      <c r="G19" s="14">
        <v>66.260000000000005</v>
      </c>
      <c r="H19" s="9">
        <v>1</v>
      </c>
      <c r="I19" s="10">
        <v>50.19</v>
      </c>
      <c r="J19" s="18" t="s">
        <v>30</v>
      </c>
      <c r="K19" s="5">
        <f t="shared" ref="K19" si="45">M$2/M19</f>
        <v>8.3426395939086291</v>
      </c>
      <c r="L19" s="5">
        <f t="shared" ref="L19" si="46">M18/M19</f>
        <v>1.0939086294416245</v>
      </c>
      <c r="M19" s="4">
        <f t="shared" ref="M19" si="47">SUM(O19:Q19)</f>
        <v>3.94</v>
      </c>
      <c r="N19" s="9">
        <v>10.27</v>
      </c>
      <c r="O19" s="9">
        <v>0.84</v>
      </c>
      <c r="P19" s="14">
        <v>2.92</v>
      </c>
      <c r="Q19" s="9">
        <v>0.18</v>
      </c>
      <c r="R19" s="10">
        <v>2.5</v>
      </c>
      <c r="S19" s="18" t="s">
        <v>30</v>
      </c>
      <c r="T19" s="5">
        <f t="shared" ref="T19" si="48">ROUND(B19/K19,3)</f>
        <v>0.502</v>
      </c>
      <c r="U19" s="5">
        <f t="shared" ref="U19" si="49">ROUND(C19/L19,3)</f>
        <v>0.94</v>
      </c>
      <c r="V19" s="4">
        <f t="shared" ref="V19" si="50">ROUND(D19/M19,3)</f>
        <v>23.756</v>
      </c>
      <c r="W19" s="19">
        <f t="shared" si="22"/>
        <v>20.47</v>
      </c>
      <c r="X19" s="19">
        <f t="shared" si="22"/>
        <v>31.356999999999999</v>
      </c>
      <c r="Y19" s="14">
        <f t="shared" si="22"/>
        <v>22.692</v>
      </c>
      <c r="Z19" s="19">
        <f t="shared" si="22"/>
        <v>5.556</v>
      </c>
      <c r="AA19" s="20">
        <f t="shared" si="22"/>
        <v>20.076000000000001</v>
      </c>
    </row>
    <row r="20" spans="1:27" ht="14.25" customHeight="1" x14ac:dyDescent="0.2">
      <c r="A20" s="18" t="s">
        <v>31</v>
      </c>
      <c r="B20" s="5">
        <f t="shared" ref="B20" si="51">D$2/D20</f>
        <v>4.8278072229754709</v>
      </c>
      <c r="C20" s="5">
        <f t="shared" ref="C20" si="52">D19/D20</f>
        <v>1.15370393196105</v>
      </c>
      <c r="D20" s="4">
        <f>SUM(F20:H20)</f>
        <v>81.13000000000001</v>
      </c>
      <c r="E20" s="9">
        <v>208.06</v>
      </c>
      <c r="F20" s="9">
        <v>24.71</v>
      </c>
      <c r="G20" s="14">
        <v>55.38</v>
      </c>
      <c r="H20" s="9">
        <v>1.04</v>
      </c>
      <c r="I20" s="15">
        <v>42.98</v>
      </c>
      <c r="J20" s="18" t="s">
        <v>31</v>
      </c>
      <c r="K20" s="5">
        <f t="shared" ref="K20" si="53">M$2/M20</f>
        <v>8.2795969773299749</v>
      </c>
      <c r="L20" s="5">
        <f t="shared" ref="L20" si="54">M19/M20</f>
        <v>0.9924433249370278</v>
      </c>
      <c r="M20" s="4">
        <f t="shared" ref="M20" si="55">SUM(O20:Q20)</f>
        <v>3.9699999999999998</v>
      </c>
      <c r="N20" s="9">
        <v>10.65</v>
      </c>
      <c r="O20" s="9">
        <v>0.88</v>
      </c>
      <c r="P20" s="14">
        <v>2.9</v>
      </c>
      <c r="Q20" s="9">
        <v>0.19</v>
      </c>
      <c r="R20" s="15">
        <v>2.52</v>
      </c>
      <c r="S20" s="18" t="s">
        <v>31</v>
      </c>
      <c r="T20" s="5">
        <f t="shared" ref="T20" si="56">ROUND(B20/K20,3)</f>
        <v>0.58299999999999996</v>
      </c>
      <c r="U20" s="5">
        <f t="shared" ref="U20" si="57">ROUND(C20/L20,3)</f>
        <v>1.1619999999999999</v>
      </c>
      <c r="V20" s="4">
        <f t="shared" ref="V20" si="58">ROUND(D20/M20,3)</f>
        <v>20.436</v>
      </c>
      <c r="W20" s="19">
        <f t="shared" ref="W20" si="59">ROUND(E20/N20,3)</f>
        <v>19.536000000000001</v>
      </c>
      <c r="X20" s="19">
        <f t="shared" ref="X20" si="60">ROUND(F20/O20,3)</f>
        <v>28.08</v>
      </c>
      <c r="Y20" s="14">
        <f t="shared" ref="Y20" si="61">ROUND(G20/P20,3)</f>
        <v>19.097000000000001</v>
      </c>
      <c r="Z20" s="19">
        <f t="shared" ref="Z20" si="62">ROUND(H20/Q20,3)</f>
        <v>5.4740000000000002</v>
      </c>
      <c r="AA20" s="15">
        <f t="shared" ref="AA20" si="63">ROUND(I20/R20,3)</f>
        <v>17.056000000000001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2026-05-31T15:35:50Z</dcterms:modified>
</cp:coreProperties>
</file>