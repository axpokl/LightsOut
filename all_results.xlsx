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ogram Files\First Publisher\bin\i386-win32\pas\数学问题\diandeng\"/>
    </mc:Choice>
  </mc:AlternateContent>
  <xr:revisionPtr revIDLastSave="0" documentId="13_ncr:1_{67EB0A6C-952F-41A7-B8A1-9F4587B9AACA}" xr6:coauthVersionLast="47" xr6:coauthVersionMax="47" xr10:uidLastSave="{00000000-0000-0000-0000-000000000000}"/>
  <bookViews>
    <workbookView xWindow="4200" yWindow="4200" windowWidth="28800" windowHeight="15345" xr2:uid="{7D9E62D1-CE3F-4CF7-9B1B-78C5766E129E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89" i="2" l="1"/>
  <c r="Z89" i="2"/>
  <c r="Y89" i="2"/>
  <c r="X89" i="2"/>
  <c r="W89" i="2"/>
  <c r="V89" i="2"/>
  <c r="U89" i="2"/>
  <c r="T89" i="2"/>
  <c r="AA88" i="2"/>
  <c r="Z88" i="2"/>
  <c r="Y88" i="2"/>
  <c r="X88" i="2"/>
  <c r="W88" i="2"/>
  <c r="V88" i="2"/>
  <c r="U88" i="2"/>
  <c r="T88" i="2"/>
  <c r="AA87" i="2"/>
  <c r="Z87" i="2"/>
  <c r="Y87" i="2"/>
  <c r="X87" i="2"/>
  <c r="W87" i="2"/>
  <c r="V87" i="2"/>
  <c r="U87" i="2"/>
  <c r="T87" i="2"/>
  <c r="M89" i="2"/>
  <c r="K89" i="2" s="1"/>
  <c r="M88" i="2"/>
  <c r="M87" i="2"/>
  <c r="D89" i="2"/>
  <c r="B89" i="2" s="1"/>
  <c r="D88" i="2"/>
  <c r="D87" i="2"/>
  <c r="AA86" i="2"/>
  <c r="Z86" i="2"/>
  <c r="Y86" i="2"/>
  <c r="X86" i="2"/>
  <c r="W86" i="2"/>
  <c r="M86" i="2"/>
  <c r="D86" i="2"/>
  <c r="AA85" i="2"/>
  <c r="Z85" i="2"/>
  <c r="Y85" i="2"/>
  <c r="X85" i="2"/>
  <c r="W85" i="2"/>
  <c r="AA84" i="2"/>
  <c r="Z84" i="2"/>
  <c r="Y84" i="2"/>
  <c r="X84" i="2"/>
  <c r="W84" i="2"/>
  <c r="M85" i="2"/>
  <c r="K85" i="2" s="1"/>
  <c r="M84" i="2"/>
  <c r="M83" i="2"/>
  <c r="D85" i="2"/>
  <c r="D84" i="2"/>
  <c r="AA83" i="2"/>
  <c r="Z83" i="2"/>
  <c r="Y83" i="2"/>
  <c r="X83" i="2"/>
  <c r="W83" i="2"/>
  <c r="AA82" i="2"/>
  <c r="Z82" i="2"/>
  <c r="Y82" i="2"/>
  <c r="X82" i="2"/>
  <c r="W82" i="2"/>
  <c r="AA81" i="2"/>
  <c r="Z81" i="2"/>
  <c r="Y81" i="2"/>
  <c r="X81" i="2"/>
  <c r="W81" i="2"/>
  <c r="AA80" i="2"/>
  <c r="Z80" i="2"/>
  <c r="Y80" i="2"/>
  <c r="X80" i="2"/>
  <c r="W80" i="2"/>
  <c r="M82" i="2"/>
  <c r="M81" i="2"/>
  <c r="K81" i="2" s="1"/>
  <c r="D83" i="2"/>
  <c r="D82" i="2"/>
  <c r="D81" i="2"/>
  <c r="M80" i="2"/>
  <c r="D80" i="2"/>
  <c r="AA79" i="2"/>
  <c r="Z79" i="2"/>
  <c r="Y79" i="2"/>
  <c r="X79" i="2"/>
  <c r="W79" i="2"/>
  <c r="M79" i="2"/>
  <c r="D79" i="2"/>
  <c r="M77" i="2"/>
  <c r="AA78" i="2"/>
  <c r="Z78" i="2"/>
  <c r="Y78" i="2"/>
  <c r="X78" i="2"/>
  <c r="W78" i="2"/>
  <c r="AA77" i="2"/>
  <c r="Z77" i="2"/>
  <c r="Y77" i="2"/>
  <c r="X77" i="2"/>
  <c r="W77" i="2"/>
  <c r="M78" i="2"/>
  <c r="D78" i="2"/>
  <c r="D77" i="2"/>
  <c r="AA76" i="2"/>
  <c r="Z76" i="2"/>
  <c r="Y76" i="2"/>
  <c r="X76" i="2"/>
  <c r="W76" i="2"/>
  <c r="M76" i="2"/>
  <c r="K76" i="2" s="1"/>
  <c r="D76" i="2"/>
  <c r="AA75" i="2"/>
  <c r="Z75" i="2"/>
  <c r="Y75" i="2"/>
  <c r="X75" i="2"/>
  <c r="W75" i="2"/>
  <c r="M75" i="2"/>
  <c r="D75" i="2"/>
  <c r="AA74" i="2"/>
  <c r="Z74" i="2"/>
  <c r="Y74" i="2"/>
  <c r="X74" i="2"/>
  <c r="W74" i="2"/>
  <c r="M74" i="2"/>
  <c r="D74" i="2"/>
  <c r="AA73" i="2"/>
  <c r="Z73" i="2"/>
  <c r="Y73" i="2"/>
  <c r="X73" i="2"/>
  <c r="W73" i="2"/>
  <c r="M73" i="2"/>
  <c r="D73" i="2"/>
  <c r="AA72" i="2"/>
  <c r="Z72" i="2"/>
  <c r="Y72" i="2"/>
  <c r="X72" i="2"/>
  <c r="W72" i="2"/>
  <c r="M72" i="2"/>
  <c r="D72" i="2"/>
  <c r="AA71" i="2"/>
  <c r="Z71" i="2"/>
  <c r="Y71" i="2"/>
  <c r="X71" i="2"/>
  <c r="W71" i="2"/>
  <c r="M71" i="2"/>
  <c r="D71" i="2"/>
  <c r="AA70" i="2"/>
  <c r="Z70" i="2"/>
  <c r="Y70" i="2"/>
  <c r="X70" i="2"/>
  <c r="W70" i="2"/>
  <c r="M70" i="2"/>
  <c r="D70" i="2"/>
  <c r="D69" i="2"/>
  <c r="M69" i="2"/>
  <c r="K69" i="2" s="1"/>
  <c r="AA69" i="2"/>
  <c r="Z69" i="2"/>
  <c r="Y69" i="2"/>
  <c r="X69" i="2"/>
  <c r="W69" i="2"/>
  <c r="AA68" i="2"/>
  <c r="Z68" i="2"/>
  <c r="Y68" i="2"/>
  <c r="X68" i="2"/>
  <c r="W68" i="2"/>
  <c r="M68" i="2"/>
  <c r="D68" i="2"/>
  <c r="AA67" i="2"/>
  <c r="Z67" i="2"/>
  <c r="Y67" i="2"/>
  <c r="X67" i="2"/>
  <c r="W67" i="2"/>
  <c r="M67" i="2"/>
  <c r="D67" i="2"/>
  <c r="AA66" i="2"/>
  <c r="Z66" i="2"/>
  <c r="Y66" i="2"/>
  <c r="X66" i="2"/>
  <c r="W66" i="2"/>
  <c r="M66" i="2"/>
  <c r="D66" i="2"/>
  <c r="M65" i="2"/>
  <c r="AA65" i="2"/>
  <c r="Z65" i="2"/>
  <c r="Y65" i="2"/>
  <c r="X65" i="2"/>
  <c r="W65" i="2"/>
  <c r="D65" i="2"/>
  <c r="W64" i="2"/>
  <c r="X64" i="2"/>
  <c r="Y64" i="2"/>
  <c r="Z64" i="2"/>
  <c r="AA64" i="2"/>
  <c r="D64" i="2"/>
  <c r="M64" i="2"/>
  <c r="K64" i="2" s="1"/>
  <c r="AA63" i="2"/>
  <c r="Z63" i="2"/>
  <c r="Y63" i="2"/>
  <c r="X63" i="2"/>
  <c r="W63" i="2"/>
  <c r="M63" i="2"/>
  <c r="D63" i="2"/>
  <c r="AA62" i="2"/>
  <c r="Z62" i="2"/>
  <c r="Y62" i="2"/>
  <c r="X62" i="2"/>
  <c r="W62" i="2"/>
  <c r="M62" i="2"/>
  <c r="D62" i="2"/>
  <c r="AA61" i="2"/>
  <c r="Z61" i="2"/>
  <c r="Y61" i="2"/>
  <c r="X61" i="2"/>
  <c r="W61" i="2"/>
  <c r="M61" i="2"/>
  <c r="K61" i="2" s="1"/>
  <c r="D61" i="2"/>
  <c r="D60" i="2"/>
  <c r="M60" i="2"/>
  <c r="AA60" i="2"/>
  <c r="Z60" i="2"/>
  <c r="Y60" i="2"/>
  <c r="X60" i="2"/>
  <c r="W60" i="2"/>
  <c r="AA59" i="2"/>
  <c r="Z59" i="2"/>
  <c r="Y59" i="2"/>
  <c r="X59" i="2"/>
  <c r="W59" i="2"/>
  <c r="M59" i="2"/>
  <c r="D59" i="2"/>
  <c r="D58" i="2"/>
  <c r="D57" i="2"/>
  <c r="AA58" i="2"/>
  <c r="Z58" i="2"/>
  <c r="Y58" i="2"/>
  <c r="X58" i="2"/>
  <c r="W58" i="2"/>
  <c r="AA57" i="2"/>
  <c r="Z57" i="2"/>
  <c r="Y57" i="2"/>
  <c r="X57" i="2"/>
  <c r="W57" i="2"/>
  <c r="M58" i="2"/>
  <c r="K58" i="2" s="1"/>
  <c r="M57" i="2"/>
  <c r="AA56" i="2"/>
  <c r="Z56" i="2"/>
  <c r="Y56" i="2"/>
  <c r="X56" i="2"/>
  <c r="W56" i="2"/>
  <c r="M56" i="2"/>
  <c r="D56" i="2"/>
  <c r="AA55" i="2"/>
  <c r="Z55" i="2"/>
  <c r="Y55" i="2"/>
  <c r="X55" i="2"/>
  <c r="W55" i="2"/>
  <c r="M55" i="2"/>
  <c r="D55" i="2"/>
  <c r="AA54" i="2"/>
  <c r="Z54" i="2"/>
  <c r="Y54" i="2"/>
  <c r="X54" i="2"/>
  <c r="W54" i="2"/>
  <c r="M54" i="2"/>
  <c r="D54" i="2"/>
  <c r="AA53" i="2"/>
  <c r="Z53" i="2"/>
  <c r="Y53" i="2"/>
  <c r="X53" i="2"/>
  <c r="W53" i="2"/>
  <c r="AA52" i="2"/>
  <c r="Z52" i="2"/>
  <c r="Y52" i="2"/>
  <c r="X52" i="2"/>
  <c r="W52" i="2"/>
  <c r="M53" i="2"/>
  <c r="K53" i="2" s="1"/>
  <c r="M52" i="2"/>
  <c r="K52" i="2" s="1"/>
  <c r="D53" i="2"/>
  <c r="D52" i="2"/>
  <c r="AA51" i="2"/>
  <c r="Z51" i="2"/>
  <c r="Y51" i="2"/>
  <c r="X51" i="2"/>
  <c r="W51" i="2"/>
  <c r="M51" i="2"/>
  <c r="D51" i="2"/>
  <c r="AA50" i="2"/>
  <c r="Z50" i="2"/>
  <c r="Y50" i="2"/>
  <c r="X50" i="2"/>
  <c r="W50" i="2"/>
  <c r="D50" i="2"/>
  <c r="M50" i="2"/>
  <c r="AA49" i="2"/>
  <c r="Z49" i="2"/>
  <c r="Y49" i="2"/>
  <c r="X49" i="2"/>
  <c r="W49" i="2"/>
  <c r="M49" i="2"/>
  <c r="D49" i="2"/>
  <c r="AA48" i="2"/>
  <c r="Z48" i="2"/>
  <c r="Y48" i="2"/>
  <c r="X48" i="2"/>
  <c r="W48" i="2"/>
  <c r="M48" i="2"/>
  <c r="D48" i="2"/>
  <c r="AA47" i="2"/>
  <c r="Z47" i="2"/>
  <c r="Y47" i="2"/>
  <c r="X47" i="2"/>
  <c r="W47" i="2"/>
  <c r="M47" i="2"/>
  <c r="D47" i="2"/>
  <c r="AA46" i="2"/>
  <c r="Z46" i="2"/>
  <c r="Y46" i="2"/>
  <c r="X46" i="2"/>
  <c r="W46" i="2"/>
  <c r="M46" i="2"/>
  <c r="D46" i="2"/>
  <c r="AA45" i="2"/>
  <c r="Z45" i="2"/>
  <c r="Y45" i="2"/>
  <c r="X45" i="2"/>
  <c r="W45" i="2"/>
  <c r="M45" i="2"/>
  <c r="D45" i="2"/>
  <c r="AA44" i="2"/>
  <c r="Z44" i="2"/>
  <c r="Y44" i="2"/>
  <c r="X44" i="2"/>
  <c r="W44" i="2"/>
  <c r="D44" i="2"/>
  <c r="AA43" i="2"/>
  <c r="Z43" i="2"/>
  <c r="Y43" i="2"/>
  <c r="X43" i="2"/>
  <c r="W43" i="2"/>
  <c r="M43" i="2"/>
  <c r="D43" i="2"/>
  <c r="AA42" i="2"/>
  <c r="Z42" i="2"/>
  <c r="Y42" i="2"/>
  <c r="X42" i="2"/>
  <c r="W42" i="2"/>
  <c r="M42" i="2"/>
  <c r="D42" i="2"/>
  <c r="AA41" i="2"/>
  <c r="Z41" i="2"/>
  <c r="Y41" i="2"/>
  <c r="X41" i="2"/>
  <c r="W41" i="2"/>
  <c r="D41" i="2"/>
  <c r="M41" i="2"/>
  <c r="AA40" i="2"/>
  <c r="Z40" i="2"/>
  <c r="Y40" i="2"/>
  <c r="X40" i="2"/>
  <c r="W40" i="2"/>
  <c r="M40" i="2"/>
  <c r="D40" i="2"/>
  <c r="AA39" i="2"/>
  <c r="Z39" i="2"/>
  <c r="Y39" i="2"/>
  <c r="X39" i="2"/>
  <c r="W39" i="2"/>
  <c r="M39" i="2"/>
  <c r="D39" i="2"/>
  <c r="AA38" i="2"/>
  <c r="Z38" i="2"/>
  <c r="Y38" i="2"/>
  <c r="X38" i="2"/>
  <c r="W38" i="2"/>
  <c r="AA37" i="2"/>
  <c r="Z37" i="2"/>
  <c r="Y37" i="2"/>
  <c r="X37" i="2"/>
  <c r="W37" i="2"/>
  <c r="M38" i="2"/>
  <c r="M37" i="2"/>
  <c r="M36" i="2"/>
  <c r="K36" i="2" s="1"/>
  <c r="M35" i="2"/>
  <c r="D38" i="2"/>
  <c r="D37" i="2"/>
  <c r="AA36" i="2"/>
  <c r="Z36" i="2"/>
  <c r="Y36" i="2"/>
  <c r="X36" i="2"/>
  <c r="W36" i="2"/>
  <c r="D36" i="2"/>
  <c r="AA35" i="2"/>
  <c r="Z35" i="2"/>
  <c r="Y35" i="2"/>
  <c r="X35" i="2"/>
  <c r="W35" i="2"/>
  <c r="D35" i="2"/>
  <c r="AA34" i="2"/>
  <c r="Z34" i="2"/>
  <c r="Y34" i="2"/>
  <c r="X34" i="2"/>
  <c r="W34" i="2"/>
  <c r="M34" i="2"/>
  <c r="D34" i="2"/>
  <c r="AA33" i="2"/>
  <c r="Z33" i="2"/>
  <c r="Y33" i="2"/>
  <c r="X33" i="2"/>
  <c r="W33" i="2"/>
  <c r="AA32" i="2"/>
  <c r="Z32" i="2"/>
  <c r="Y32" i="2"/>
  <c r="X32" i="2"/>
  <c r="W32" i="2"/>
  <c r="M33" i="2"/>
  <c r="D33" i="2"/>
  <c r="M32" i="2"/>
  <c r="D32" i="2"/>
  <c r="AA31" i="2"/>
  <c r="Z31" i="2"/>
  <c r="Y31" i="2"/>
  <c r="X31" i="2"/>
  <c r="W31" i="2"/>
  <c r="M31" i="2"/>
  <c r="D31" i="2"/>
  <c r="AA30" i="2"/>
  <c r="Z30" i="2"/>
  <c r="Y30" i="2"/>
  <c r="X30" i="2"/>
  <c r="W30" i="2"/>
  <c r="M30" i="2"/>
  <c r="D30" i="2"/>
  <c r="AA29" i="2"/>
  <c r="Z29" i="2"/>
  <c r="Y29" i="2"/>
  <c r="X29" i="2"/>
  <c r="W29" i="2"/>
  <c r="M29" i="2"/>
  <c r="D29" i="2"/>
  <c r="AA28" i="2"/>
  <c r="Z28" i="2"/>
  <c r="Y28" i="2"/>
  <c r="X28" i="2"/>
  <c r="W28" i="2"/>
  <c r="D28" i="2"/>
  <c r="M28" i="2"/>
  <c r="AA27" i="2"/>
  <c r="Z27" i="2"/>
  <c r="Y27" i="2"/>
  <c r="X27" i="2"/>
  <c r="W27" i="2"/>
  <c r="M27" i="2"/>
  <c r="D27" i="2"/>
  <c r="AA26" i="2"/>
  <c r="Z26" i="2"/>
  <c r="Y26" i="2"/>
  <c r="X26" i="2"/>
  <c r="W26" i="2"/>
  <c r="M26" i="2"/>
  <c r="D26" i="2"/>
  <c r="AA25" i="2"/>
  <c r="Z25" i="2"/>
  <c r="Y25" i="2"/>
  <c r="X25" i="2"/>
  <c r="W25" i="2"/>
  <c r="M25" i="2"/>
  <c r="D25" i="2"/>
  <c r="AA24" i="2"/>
  <c r="Z24" i="2"/>
  <c r="Y24" i="2"/>
  <c r="X24" i="2"/>
  <c r="W24" i="2"/>
  <c r="M24" i="2"/>
  <c r="D24" i="2"/>
  <c r="AA23" i="2"/>
  <c r="Z23" i="2"/>
  <c r="Y23" i="2"/>
  <c r="X23" i="2"/>
  <c r="W23" i="2"/>
  <c r="M23" i="2"/>
  <c r="D23" i="2"/>
  <c r="AA22" i="2"/>
  <c r="Z22" i="2"/>
  <c r="Y22" i="2"/>
  <c r="X22" i="2"/>
  <c r="W22" i="2"/>
  <c r="M22" i="2"/>
  <c r="D22" i="2"/>
  <c r="T2" i="2"/>
  <c r="U2" i="2"/>
  <c r="W2" i="2"/>
  <c r="X2" i="2"/>
  <c r="Y2" i="2"/>
  <c r="Z2" i="2"/>
  <c r="AA2" i="2"/>
  <c r="K3" i="2"/>
  <c r="L3" i="2"/>
  <c r="W3" i="2"/>
  <c r="X3" i="2"/>
  <c r="Y3" i="2"/>
  <c r="Z3" i="2"/>
  <c r="AA3" i="2"/>
  <c r="M4" i="2"/>
  <c r="W4" i="2"/>
  <c r="X4" i="2"/>
  <c r="Y4" i="2"/>
  <c r="Z4" i="2"/>
  <c r="AA4" i="2"/>
  <c r="M5" i="2"/>
  <c r="K5" i="2" s="1"/>
  <c r="W5" i="2"/>
  <c r="X5" i="2"/>
  <c r="Y5" i="2"/>
  <c r="Z5" i="2"/>
  <c r="AA5" i="2"/>
  <c r="M6" i="2"/>
  <c r="K6" i="2" s="1"/>
  <c r="W6" i="2"/>
  <c r="X6" i="2"/>
  <c r="Y6" i="2"/>
  <c r="Z6" i="2"/>
  <c r="AA6" i="2"/>
  <c r="M7" i="2"/>
  <c r="W7" i="2"/>
  <c r="X7" i="2"/>
  <c r="Y7" i="2"/>
  <c r="Z7" i="2"/>
  <c r="AA7" i="2"/>
  <c r="M8" i="2"/>
  <c r="K8" i="2" s="1"/>
  <c r="W8" i="2"/>
  <c r="X8" i="2"/>
  <c r="Y8" i="2"/>
  <c r="Z8" i="2"/>
  <c r="AA8" i="2"/>
  <c r="M9" i="2"/>
  <c r="W9" i="2"/>
  <c r="X9" i="2"/>
  <c r="Y9" i="2"/>
  <c r="Z9" i="2"/>
  <c r="AA9" i="2"/>
  <c r="M10" i="2"/>
  <c r="K10" i="2" s="1"/>
  <c r="M11" i="2"/>
  <c r="K11" i="2" s="1"/>
  <c r="M12" i="2"/>
  <c r="K12" i="2" s="1"/>
  <c r="M13" i="2"/>
  <c r="K13" i="2" s="1"/>
  <c r="M14" i="2"/>
  <c r="M15" i="2"/>
  <c r="K15" i="2" s="1"/>
  <c r="M16" i="2"/>
  <c r="M17" i="2"/>
  <c r="M18" i="2"/>
  <c r="K18" i="2" s="1"/>
  <c r="M19" i="2"/>
  <c r="K19" i="2" s="1"/>
  <c r="M20" i="2"/>
  <c r="K20" i="2" s="1"/>
  <c r="M21" i="2"/>
  <c r="K21" i="2" s="1"/>
  <c r="D21" i="2"/>
  <c r="AA21" i="2"/>
  <c r="Z21" i="2"/>
  <c r="Y21" i="2"/>
  <c r="X21" i="2"/>
  <c r="W21" i="2"/>
  <c r="AA20" i="2"/>
  <c r="Z20" i="2"/>
  <c r="Y20" i="2"/>
  <c r="X20" i="2"/>
  <c r="W20" i="2"/>
  <c r="D20" i="2"/>
  <c r="AA19" i="2"/>
  <c r="Z19" i="2"/>
  <c r="Y19" i="2"/>
  <c r="X19" i="2"/>
  <c r="W19" i="2"/>
  <c r="D19" i="2"/>
  <c r="D2" i="2"/>
  <c r="D3" i="2"/>
  <c r="V3" i="2" s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W18" i="2"/>
  <c r="X18" i="2"/>
  <c r="Y18" i="2"/>
  <c r="Z18" i="2"/>
  <c r="AA18" i="2"/>
  <c r="AA17" i="2"/>
  <c r="Z17" i="2"/>
  <c r="Y17" i="2"/>
  <c r="X17" i="2"/>
  <c r="W17" i="2"/>
  <c r="W16" i="2"/>
  <c r="X16" i="2"/>
  <c r="Y16" i="2"/>
  <c r="Z16" i="2"/>
  <c r="AA16" i="2"/>
  <c r="W15" i="2"/>
  <c r="X15" i="2"/>
  <c r="Y15" i="2"/>
  <c r="Z15" i="2"/>
  <c r="AA15" i="2"/>
  <c r="W10" i="2"/>
  <c r="W11" i="2"/>
  <c r="W12" i="2"/>
  <c r="W13" i="2"/>
  <c r="W14" i="2"/>
  <c r="X13" i="2"/>
  <c r="Y13" i="2"/>
  <c r="Z13" i="2"/>
  <c r="AA13" i="2"/>
  <c r="X14" i="2"/>
  <c r="Y14" i="2"/>
  <c r="Z14" i="2"/>
  <c r="AA14" i="2"/>
  <c r="Z12" i="2"/>
  <c r="Y12" i="2"/>
  <c r="X12" i="2"/>
  <c r="AA12" i="2"/>
  <c r="Z11" i="2"/>
  <c r="Y11" i="2"/>
  <c r="X11" i="2"/>
  <c r="AA11" i="2"/>
  <c r="Z10" i="2"/>
  <c r="Y10" i="2"/>
  <c r="X10" i="2"/>
  <c r="AA10" i="2"/>
  <c r="L89" i="2" l="1"/>
  <c r="K88" i="2"/>
  <c r="L88" i="2"/>
  <c r="K87" i="2"/>
  <c r="L87" i="2"/>
  <c r="C89" i="2"/>
  <c r="B88" i="2"/>
  <c r="C88" i="2"/>
  <c r="C87" i="2"/>
  <c r="B87" i="2"/>
  <c r="V86" i="2"/>
  <c r="V82" i="2"/>
  <c r="L86" i="2"/>
  <c r="K86" i="2"/>
  <c r="C86" i="2"/>
  <c r="U86" i="2" s="1"/>
  <c r="B86" i="2"/>
  <c r="T86" i="2" s="1"/>
  <c r="V85" i="2"/>
  <c r="V84" i="2"/>
  <c r="V80" i="2"/>
  <c r="B85" i="2"/>
  <c r="T85" i="2" s="1"/>
  <c r="V83" i="2"/>
  <c r="L85" i="2"/>
  <c r="K84" i="2"/>
  <c r="L83" i="2"/>
  <c r="K83" i="2"/>
  <c r="L84" i="2"/>
  <c r="C85" i="2"/>
  <c r="U85" i="2" s="1"/>
  <c r="C84" i="2"/>
  <c r="B84" i="2"/>
  <c r="V81" i="2"/>
  <c r="B83" i="2"/>
  <c r="K82" i="2"/>
  <c r="L82" i="2"/>
  <c r="L81" i="2"/>
  <c r="C83" i="2"/>
  <c r="B82" i="2"/>
  <c r="T82" i="2" s="1"/>
  <c r="C82" i="2"/>
  <c r="C81" i="2"/>
  <c r="B81" i="2"/>
  <c r="T81" i="2" s="1"/>
  <c r="V77" i="2"/>
  <c r="L80" i="2"/>
  <c r="K80" i="2"/>
  <c r="C80" i="2"/>
  <c r="B80" i="2"/>
  <c r="V79" i="2"/>
  <c r="L79" i="2"/>
  <c r="K79" i="2"/>
  <c r="C79" i="2"/>
  <c r="B79" i="2"/>
  <c r="B78" i="2"/>
  <c r="K78" i="2"/>
  <c r="V78" i="2"/>
  <c r="K77" i="2"/>
  <c r="L77" i="2"/>
  <c r="L78" i="2"/>
  <c r="C78" i="2"/>
  <c r="C77" i="2"/>
  <c r="B77" i="2"/>
  <c r="L76" i="2"/>
  <c r="B69" i="2"/>
  <c r="T69" i="2" s="1"/>
  <c r="C76" i="2"/>
  <c r="V76" i="2"/>
  <c r="B76" i="2"/>
  <c r="T76" i="2" s="1"/>
  <c r="C75" i="2"/>
  <c r="L75" i="2"/>
  <c r="K75" i="2"/>
  <c r="V75" i="2"/>
  <c r="B75" i="2"/>
  <c r="L74" i="2"/>
  <c r="C74" i="2"/>
  <c r="V74" i="2"/>
  <c r="K74" i="2"/>
  <c r="B74" i="2"/>
  <c r="C73" i="2"/>
  <c r="L73" i="2"/>
  <c r="U73" i="2" s="1"/>
  <c r="V73" i="2"/>
  <c r="K73" i="2"/>
  <c r="B73" i="2"/>
  <c r="L72" i="2"/>
  <c r="C72" i="2"/>
  <c r="U72" i="2" s="1"/>
  <c r="V72" i="2"/>
  <c r="K72" i="2"/>
  <c r="B72" i="2"/>
  <c r="B71" i="2"/>
  <c r="L69" i="2"/>
  <c r="L71" i="2"/>
  <c r="C71" i="2"/>
  <c r="V71" i="2"/>
  <c r="K71" i="2"/>
  <c r="C70" i="2"/>
  <c r="C69" i="2"/>
  <c r="L70" i="2"/>
  <c r="V70" i="2"/>
  <c r="K70" i="2"/>
  <c r="B70" i="2"/>
  <c r="V67" i="2"/>
  <c r="V69" i="2"/>
  <c r="L67" i="2"/>
  <c r="V68" i="2"/>
  <c r="L68" i="2"/>
  <c r="L64" i="2"/>
  <c r="B68" i="2"/>
  <c r="C68" i="2"/>
  <c r="K68" i="2"/>
  <c r="K67" i="2"/>
  <c r="C67" i="2"/>
  <c r="B67" i="2"/>
  <c r="C66" i="2"/>
  <c r="L66" i="2"/>
  <c r="V66" i="2"/>
  <c r="K66" i="2"/>
  <c r="B66" i="2"/>
  <c r="C65" i="2"/>
  <c r="L65" i="2"/>
  <c r="V65" i="2"/>
  <c r="K65" i="2"/>
  <c r="B65" i="2"/>
  <c r="V64" i="2"/>
  <c r="C64" i="2"/>
  <c r="B64" i="2"/>
  <c r="T64" i="2" s="1"/>
  <c r="L63" i="2"/>
  <c r="C62" i="2"/>
  <c r="C63" i="2"/>
  <c r="V63" i="2"/>
  <c r="K63" i="2"/>
  <c r="B63" i="2"/>
  <c r="V62" i="2"/>
  <c r="L62" i="2"/>
  <c r="K62" i="2"/>
  <c r="B62" i="2"/>
  <c r="C61" i="2"/>
  <c r="V60" i="2"/>
  <c r="L61" i="2"/>
  <c r="V61" i="2"/>
  <c r="B61" i="2"/>
  <c r="T61" i="2" s="1"/>
  <c r="L60" i="2"/>
  <c r="C58" i="2"/>
  <c r="C60" i="2"/>
  <c r="B60" i="2"/>
  <c r="K60" i="2"/>
  <c r="C59" i="2"/>
  <c r="L59" i="2"/>
  <c r="V59" i="2"/>
  <c r="K59" i="2"/>
  <c r="B59" i="2"/>
  <c r="B58" i="2"/>
  <c r="T58" i="2" s="1"/>
  <c r="C57" i="2"/>
  <c r="B57" i="2"/>
  <c r="L58" i="2"/>
  <c r="K57" i="2"/>
  <c r="V58" i="2"/>
  <c r="V57" i="2"/>
  <c r="L57" i="2"/>
  <c r="L56" i="2"/>
  <c r="C56" i="2"/>
  <c r="V56" i="2"/>
  <c r="K56" i="2"/>
  <c r="B56" i="2"/>
  <c r="L55" i="2"/>
  <c r="C55" i="2"/>
  <c r="V55" i="2"/>
  <c r="K55" i="2"/>
  <c r="B55" i="2"/>
  <c r="L52" i="2"/>
  <c r="V54" i="2"/>
  <c r="L54" i="2"/>
  <c r="V53" i="2"/>
  <c r="C53" i="2"/>
  <c r="K54" i="2"/>
  <c r="L53" i="2"/>
  <c r="C54" i="2"/>
  <c r="B54" i="2"/>
  <c r="V52" i="2"/>
  <c r="B52" i="2"/>
  <c r="T52" i="2" s="1"/>
  <c r="C52" i="2"/>
  <c r="B53" i="2"/>
  <c r="T53" i="2" s="1"/>
  <c r="C51" i="2"/>
  <c r="L51" i="2"/>
  <c r="V51" i="2"/>
  <c r="K51" i="2"/>
  <c r="B51" i="2"/>
  <c r="C50" i="2"/>
  <c r="L50" i="2"/>
  <c r="V50" i="2"/>
  <c r="B50" i="2"/>
  <c r="K50" i="2"/>
  <c r="L46" i="2"/>
  <c r="L49" i="2"/>
  <c r="C49" i="2"/>
  <c r="V49" i="2"/>
  <c r="K49" i="2"/>
  <c r="B49" i="2"/>
  <c r="V48" i="2"/>
  <c r="L48" i="2"/>
  <c r="C48" i="2"/>
  <c r="K48" i="2"/>
  <c r="B48" i="2"/>
  <c r="K46" i="2"/>
  <c r="C46" i="2"/>
  <c r="V47" i="2"/>
  <c r="L47" i="2"/>
  <c r="V46" i="2"/>
  <c r="B47" i="2"/>
  <c r="C47" i="2"/>
  <c r="K47" i="2"/>
  <c r="B46" i="2"/>
  <c r="C45" i="2"/>
  <c r="V45" i="2"/>
  <c r="K45" i="2"/>
  <c r="B45" i="2"/>
  <c r="C44" i="2"/>
  <c r="B44" i="2"/>
  <c r="M44" i="2"/>
  <c r="L45" i="2" s="1"/>
  <c r="L43" i="2"/>
  <c r="C43" i="2"/>
  <c r="V43" i="2"/>
  <c r="K43" i="2"/>
  <c r="B43" i="2"/>
  <c r="L42" i="2"/>
  <c r="C42" i="2"/>
  <c r="V42" i="2"/>
  <c r="K42" i="2"/>
  <c r="B42" i="2"/>
  <c r="L41" i="2"/>
  <c r="C41" i="2"/>
  <c r="V41" i="2"/>
  <c r="B41" i="2"/>
  <c r="K41" i="2"/>
  <c r="L40" i="2"/>
  <c r="C40" i="2"/>
  <c r="C39" i="2"/>
  <c r="V40" i="2"/>
  <c r="K40" i="2"/>
  <c r="B40" i="2"/>
  <c r="L38" i="2"/>
  <c r="L39" i="2"/>
  <c r="V39" i="2"/>
  <c r="K39" i="2"/>
  <c r="B39" i="2"/>
  <c r="L36" i="2"/>
  <c r="L35" i="2"/>
  <c r="B37" i="2"/>
  <c r="K38" i="2"/>
  <c r="C38" i="2"/>
  <c r="B38" i="2"/>
  <c r="V38" i="2"/>
  <c r="K37" i="2"/>
  <c r="V37" i="2"/>
  <c r="K35" i="2"/>
  <c r="L37" i="2"/>
  <c r="C37" i="2"/>
  <c r="C36" i="2"/>
  <c r="V36" i="2"/>
  <c r="B36" i="2"/>
  <c r="T36" i="2" s="1"/>
  <c r="B33" i="2"/>
  <c r="V5" i="2"/>
  <c r="C22" i="2"/>
  <c r="C35" i="2"/>
  <c r="V35" i="2"/>
  <c r="B35" i="2"/>
  <c r="C34" i="2"/>
  <c r="L34" i="2"/>
  <c r="C33" i="2"/>
  <c r="V34" i="2"/>
  <c r="K34" i="2"/>
  <c r="B34" i="2"/>
  <c r="B32" i="2"/>
  <c r="V32" i="2"/>
  <c r="L33" i="2"/>
  <c r="K33" i="2"/>
  <c r="V33" i="2"/>
  <c r="L32" i="2"/>
  <c r="C32" i="2"/>
  <c r="K32" i="2"/>
  <c r="L31" i="2"/>
  <c r="C31" i="2"/>
  <c r="B30" i="2"/>
  <c r="V31" i="2"/>
  <c r="K31" i="2"/>
  <c r="B31" i="2"/>
  <c r="C30" i="2"/>
  <c r="L30" i="2"/>
  <c r="V30" i="2"/>
  <c r="K30" i="2"/>
  <c r="C13" i="2"/>
  <c r="B28" i="2"/>
  <c r="V29" i="2"/>
  <c r="L29" i="2"/>
  <c r="B29" i="2"/>
  <c r="C29" i="2"/>
  <c r="K29" i="2"/>
  <c r="L28" i="2"/>
  <c r="C28" i="2"/>
  <c r="V28" i="2"/>
  <c r="K28" i="2"/>
  <c r="C27" i="2"/>
  <c r="L27" i="2"/>
  <c r="V27" i="2"/>
  <c r="K27" i="2"/>
  <c r="B27" i="2"/>
  <c r="L17" i="2"/>
  <c r="V26" i="2"/>
  <c r="C26" i="2"/>
  <c r="L25" i="2"/>
  <c r="L26" i="2"/>
  <c r="K26" i="2"/>
  <c r="B26" i="2"/>
  <c r="C25" i="2"/>
  <c r="V25" i="2"/>
  <c r="K25" i="2"/>
  <c r="B25" i="2"/>
  <c r="L23" i="2"/>
  <c r="V7" i="2"/>
  <c r="C24" i="2"/>
  <c r="V4" i="2"/>
  <c r="L24" i="2"/>
  <c r="V24" i="2"/>
  <c r="K24" i="2"/>
  <c r="B24" i="2"/>
  <c r="C23" i="2"/>
  <c r="V23" i="2"/>
  <c r="K23" i="2"/>
  <c r="B23" i="2"/>
  <c r="C12" i="2"/>
  <c r="C10" i="2"/>
  <c r="B22" i="2"/>
  <c r="B12" i="2"/>
  <c r="C11" i="2"/>
  <c r="L5" i="2"/>
  <c r="L8" i="2"/>
  <c r="L22" i="2"/>
  <c r="V22" i="2"/>
  <c r="K22" i="2"/>
  <c r="C4" i="2"/>
  <c r="B5" i="2"/>
  <c r="T5" i="2" s="1"/>
  <c r="B4" i="2"/>
  <c r="B11" i="2"/>
  <c r="V9" i="2"/>
  <c r="L10" i="2"/>
  <c r="B10" i="2"/>
  <c r="C9" i="2"/>
  <c r="C17" i="2"/>
  <c r="B15" i="2"/>
  <c r="C21" i="2"/>
  <c r="C15" i="2"/>
  <c r="C8" i="2"/>
  <c r="C7" i="2"/>
  <c r="L16" i="2"/>
  <c r="B14" i="2"/>
  <c r="K16" i="2"/>
  <c r="L9" i="2"/>
  <c r="B13" i="2"/>
  <c r="K9" i="2"/>
  <c r="C14" i="2"/>
  <c r="C5" i="2"/>
  <c r="L15" i="2"/>
  <c r="L4" i="2"/>
  <c r="B6" i="2"/>
  <c r="T6" i="2" s="1"/>
  <c r="B16" i="2"/>
  <c r="C6" i="2"/>
  <c r="C16" i="2"/>
  <c r="L13" i="2"/>
  <c r="K4" i="2"/>
  <c r="B7" i="2"/>
  <c r="B17" i="2"/>
  <c r="K17" i="2"/>
  <c r="V8" i="2"/>
  <c r="B8" i="2"/>
  <c r="T8" i="2" s="1"/>
  <c r="L11" i="2"/>
  <c r="B9" i="2"/>
  <c r="V2" i="2"/>
  <c r="L18" i="2"/>
  <c r="C20" i="2"/>
  <c r="C19" i="2"/>
  <c r="B18" i="2"/>
  <c r="C18" i="2"/>
  <c r="B19" i="2"/>
  <c r="B20" i="2"/>
  <c r="T20" i="2" s="1"/>
  <c r="B21" i="2"/>
  <c r="T21" i="2" s="1"/>
  <c r="L14" i="2"/>
  <c r="K14" i="2"/>
  <c r="L20" i="2"/>
  <c r="L19" i="2"/>
  <c r="L7" i="2"/>
  <c r="L12" i="2"/>
  <c r="K7" i="2"/>
  <c r="V6" i="2"/>
  <c r="L6" i="2"/>
  <c r="L21" i="2"/>
  <c r="V21" i="2"/>
  <c r="V20" i="2"/>
  <c r="C3" i="2"/>
  <c r="U3" i="2" s="1"/>
  <c r="V19" i="2"/>
  <c r="B3" i="2"/>
  <c r="T3" i="2" s="1"/>
  <c r="V18" i="2"/>
  <c r="V17" i="2"/>
  <c r="V13" i="2"/>
  <c r="V10" i="2"/>
  <c r="V11" i="2"/>
  <c r="V16" i="2"/>
  <c r="V15" i="2"/>
  <c r="V14" i="2"/>
  <c r="V12" i="2"/>
  <c r="T83" i="2" l="1"/>
  <c r="U79" i="2"/>
  <c r="U83" i="2"/>
  <c r="U84" i="2"/>
  <c r="T84" i="2"/>
  <c r="U82" i="2"/>
  <c r="U81" i="2"/>
  <c r="U76" i="2"/>
  <c r="U80" i="2"/>
  <c r="T80" i="2"/>
  <c r="T79" i="2"/>
  <c r="T78" i="2"/>
  <c r="U77" i="2"/>
  <c r="T77" i="2"/>
  <c r="U78" i="2"/>
  <c r="U75" i="2"/>
  <c r="T62" i="2"/>
  <c r="T74" i="2"/>
  <c r="T75" i="2"/>
  <c r="U71" i="2"/>
  <c r="T67" i="2"/>
  <c r="U74" i="2"/>
  <c r="T71" i="2"/>
  <c r="U69" i="2"/>
  <c r="T73" i="2"/>
  <c r="T72" i="2"/>
  <c r="U67" i="2"/>
  <c r="U68" i="2"/>
  <c r="U63" i="2"/>
  <c r="T70" i="2"/>
  <c r="U70" i="2"/>
  <c r="U66" i="2"/>
  <c r="U65" i="2"/>
  <c r="U64" i="2"/>
  <c r="T68" i="2"/>
  <c r="U62" i="2"/>
  <c r="T66" i="2"/>
  <c r="T65" i="2"/>
  <c r="U60" i="2"/>
  <c r="T63" i="2"/>
  <c r="T60" i="2"/>
  <c r="U61" i="2"/>
  <c r="U59" i="2"/>
  <c r="U56" i="2"/>
  <c r="T57" i="2"/>
  <c r="U58" i="2"/>
  <c r="U54" i="2"/>
  <c r="U57" i="2"/>
  <c r="T59" i="2"/>
  <c r="U55" i="2"/>
  <c r="T54" i="2"/>
  <c r="T56" i="2"/>
  <c r="U51" i="2"/>
  <c r="U52" i="2"/>
  <c r="U53" i="2"/>
  <c r="T55" i="2"/>
  <c r="U50" i="2"/>
  <c r="U48" i="2"/>
  <c r="T49" i="2"/>
  <c r="T48" i="2"/>
  <c r="U41" i="2"/>
  <c r="U46" i="2"/>
  <c r="T51" i="2"/>
  <c r="T50" i="2"/>
  <c r="U47" i="2"/>
  <c r="U49" i="2"/>
  <c r="T46" i="2"/>
  <c r="T47" i="2"/>
  <c r="T42" i="2"/>
  <c r="T45" i="2"/>
  <c r="T43" i="2"/>
  <c r="U43" i="2"/>
  <c r="U45" i="2"/>
  <c r="L44" i="2"/>
  <c r="U44" i="2" s="1"/>
  <c r="V44" i="2"/>
  <c r="K44" i="2"/>
  <c r="T44" i="2" s="1"/>
  <c r="T40" i="2"/>
  <c r="U39" i="2"/>
  <c r="U36" i="2"/>
  <c r="U42" i="2"/>
  <c r="U40" i="2"/>
  <c r="T41" i="2"/>
  <c r="U38" i="2"/>
  <c r="T37" i="2"/>
  <c r="T38" i="2"/>
  <c r="T35" i="2"/>
  <c r="T39" i="2"/>
  <c r="U35" i="2"/>
  <c r="U37" i="2"/>
  <c r="U34" i="2"/>
  <c r="U22" i="2"/>
  <c r="T33" i="2"/>
  <c r="U33" i="2"/>
  <c r="T32" i="2"/>
  <c r="T30" i="2"/>
  <c r="T34" i="2"/>
  <c r="U32" i="2"/>
  <c r="U31" i="2"/>
  <c r="U30" i="2"/>
  <c r="U23" i="2"/>
  <c r="U4" i="2"/>
  <c r="U24" i="2"/>
  <c r="T28" i="2"/>
  <c r="T31" i="2"/>
  <c r="U29" i="2"/>
  <c r="T7" i="2"/>
  <c r="U25" i="2"/>
  <c r="U28" i="2"/>
  <c r="T29" i="2"/>
  <c r="U27" i="2"/>
  <c r="U26" i="2"/>
  <c r="T27" i="2"/>
  <c r="U7" i="2"/>
  <c r="T26" i="2"/>
  <c r="U8" i="2"/>
  <c r="T25" i="2"/>
  <c r="T23" i="2"/>
  <c r="U5" i="2"/>
  <c r="T24" i="2"/>
  <c r="T22" i="2"/>
  <c r="U9" i="2"/>
  <c r="T4" i="2"/>
  <c r="T9" i="2"/>
  <c r="U21" i="2"/>
  <c r="U20" i="2"/>
  <c r="U6" i="2"/>
  <c r="T17" i="2"/>
  <c r="T18" i="2"/>
  <c r="T19" i="2"/>
  <c r="U19" i="2"/>
  <c r="U17" i="2"/>
  <c r="U18" i="2"/>
  <c r="U15" i="2"/>
  <c r="U14" i="2"/>
  <c r="T10" i="2"/>
  <c r="U10" i="2"/>
  <c r="T11" i="2"/>
  <c r="U13" i="2"/>
  <c r="T16" i="2"/>
  <c r="U16" i="2"/>
  <c r="U11" i="2"/>
  <c r="T13" i="2"/>
  <c r="T14" i="2"/>
  <c r="T15" i="2"/>
  <c r="T12" i="2"/>
  <c r="U12" i="2"/>
</calcChain>
</file>

<file path=xl/sharedStrings.xml><?xml version="1.0" encoding="utf-8"?>
<sst xmlns="http://schemas.openxmlformats.org/spreadsheetml/2006/main" count="291" uniqueCount="99">
  <si>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</si>
  <si>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</si>
  <si>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</si>
  <si>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</si>
  <si>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</si>
  <si>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</si>
  <si>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</si>
  <si>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</si>
  <si>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</si>
  <si>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</si>
  <si>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q</t>
  </si>
  <si>
    <t>z</t>
  </si>
  <si>
    <t>x</t>
  </si>
  <si>
    <t>上一</t>
    <phoneticPr fontId="2" type="noConversion"/>
  </si>
  <si>
    <t>第一</t>
    <phoneticPr fontId="2" type="noConversion"/>
  </si>
  <si>
    <t>A</t>
    <phoneticPr fontId="2" type="noConversion"/>
  </si>
  <si>
    <t>总计</t>
    <phoneticPr fontId="2" type="noConversion"/>
  </si>
  <si>
    <t>gen</t>
    <phoneticPr fontId="2" type="noConversion"/>
  </si>
  <si>
    <t>H33</t>
  </si>
  <si>
    <t>H34</t>
  </si>
  <si>
    <t>mak</t>
    <phoneticPr fontId="2" type="noConversion"/>
  </si>
  <si>
    <t>H35</t>
  </si>
  <si>
    <t>H37</t>
    <phoneticPr fontId="2" type="noConversion"/>
  </si>
  <si>
    <t>H38</t>
    <phoneticPr fontId="2" type="noConversion"/>
  </si>
  <si>
    <t>H39</t>
    <phoneticPr fontId="2" type="noConversion"/>
  </si>
  <si>
    <t>H41</t>
  </si>
  <si>
    <t>H22</t>
    <phoneticPr fontId="2" type="noConversion"/>
  </si>
  <si>
    <t>H40</t>
    <phoneticPr fontId="2" type="noConversion"/>
  </si>
  <si>
    <t>H36</t>
    <phoneticPr fontId="2" type="noConversion"/>
  </si>
  <si>
    <t>B</t>
    <phoneticPr fontId="2" type="noConversion"/>
  </si>
  <si>
    <t>H42</t>
    <phoneticPr fontId="2" type="noConversion"/>
  </si>
  <si>
    <t>H43</t>
    <phoneticPr fontId="2" type="noConversion"/>
  </si>
  <si>
    <t>H44</t>
    <phoneticPr fontId="2" type="noConversion"/>
  </si>
  <si>
    <t>H45</t>
    <phoneticPr fontId="2" type="noConversion"/>
  </si>
  <si>
    <t>H46</t>
    <phoneticPr fontId="2" type="noConversion"/>
  </si>
  <si>
    <t>H47</t>
    <phoneticPr fontId="2" type="noConversion"/>
  </si>
  <si>
    <t>H48</t>
    <phoneticPr fontId="2" type="noConversion"/>
  </si>
  <si>
    <t>H49</t>
    <phoneticPr fontId="2" type="noConversion"/>
  </si>
  <si>
    <t>H50</t>
    <phoneticPr fontId="2" type="noConversion"/>
  </si>
  <si>
    <t>H51</t>
    <phoneticPr fontId="2" type="noConversion"/>
  </si>
  <si>
    <t>H52</t>
    <phoneticPr fontId="2" type="noConversion"/>
  </si>
  <si>
    <t>H53</t>
    <phoneticPr fontId="2" type="noConversion"/>
  </si>
  <si>
    <t>H54</t>
    <phoneticPr fontId="2" type="noConversion"/>
  </si>
  <si>
    <t>H55</t>
    <phoneticPr fontId="2" type="noConversion"/>
  </si>
  <si>
    <t>H56</t>
    <phoneticPr fontId="2" type="noConversion"/>
  </si>
  <si>
    <t>H57</t>
  </si>
  <si>
    <t>H58</t>
  </si>
  <si>
    <t>H59</t>
    <phoneticPr fontId="2" type="noConversion"/>
  </si>
  <si>
    <t>H60</t>
    <phoneticPr fontId="2" type="noConversion"/>
  </si>
  <si>
    <t>H61</t>
    <phoneticPr fontId="2" type="noConversion"/>
  </si>
  <si>
    <t>H62</t>
    <phoneticPr fontId="2" type="noConversion"/>
  </si>
  <si>
    <t>H63</t>
    <phoneticPr fontId="2" type="noConversion"/>
  </si>
  <si>
    <t>H64</t>
    <phoneticPr fontId="2" type="noConversion"/>
  </si>
  <si>
    <t>H65</t>
    <phoneticPr fontId="2" type="noConversion"/>
  </si>
  <si>
    <t>H66</t>
    <phoneticPr fontId="2" type="noConversion"/>
  </si>
  <si>
    <t>H67</t>
    <phoneticPr fontId="2" type="noConversion"/>
  </si>
  <si>
    <t>H68</t>
    <phoneticPr fontId="2" type="noConversion"/>
  </si>
  <si>
    <t>H69</t>
    <phoneticPr fontId="2" type="noConversion"/>
  </si>
  <si>
    <t>H70</t>
    <phoneticPr fontId="2" type="noConversion"/>
  </si>
  <si>
    <t>H71</t>
    <phoneticPr fontId="2" type="noConversion"/>
  </si>
  <si>
    <t>H72</t>
    <phoneticPr fontId="2" type="noConversion"/>
  </si>
  <si>
    <t>H73</t>
    <phoneticPr fontId="2" type="noConversion"/>
  </si>
  <si>
    <t>H74</t>
    <phoneticPr fontId="2" type="noConversion"/>
  </si>
  <si>
    <t>H75</t>
    <phoneticPr fontId="2" type="noConversion"/>
  </si>
  <si>
    <t>H76</t>
    <phoneticPr fontId="2" type="noConversion"/>
  </si>
  <si>
    <t>H77</t>
    <phoneticPr fontId="2" type="noConversion"/>
  </si>
  <si>
    <t>H78</t>
    <phoneticPr fontId="2" type="noConversion"/>
  </si>
  <si>
    <t>H79</t>
    <phoneticPr fontId="2" type="noConversion"/>
  </si>
  <si>
    <t>H80</t>
    <phoneticPr fontId="2" type="noConversion"/>
  </si>
  <si>
    <t>H81</t>
    <phoneticPr fontId="2" type="noConversion"/>
  </si>
  <si>
    <t>H82</t>
    <phoneticPr fontId="2" type="noConversion"/>
  </si>
  <si>
    <t>H83</t>
    <phoneticPr fontId="2" type="noConversion"/>
  </si>
  <si>
    <t>H84</t>
    <phoneticPr fontId="2" type="noConversion"/>
  </si>
  <si>
    <t>H84</t>
    <phoneticPr fontId="2" type="noConversion"/>
  </si>
  <si>
    <t>H85</t>
    <phoneticPr fontId="2" type="noConversion"/>
  </si>
  <si>
    <t>H86</t>
    <phoneticPr fontId="2" type="noConversion"/>
  </si>
  <si>
    <t>H87</t>
    <phoneticPr fontId="2" type="noConversion"/>
  </si>
  <si>
    <t>H88</t>
    <phoneticPr fontId="2" type="noConversion"/>
  </si>
  <si>
    <t>H89</t>
    <phoneticPr fontId="2" type="noConversion"/>
  </si>
  <si>
    <t>H90</t>
    <phoneticPr fontId="2" type="noConversion"/>
  </si>
  <si>
    <t>H91</t>
    <phoneticPr fontId="2" type="noConversion"/>
  </si>
  <si>
    <t>H92</t>
    <phoneticPr fontId="2" type="noConversion"/>
  </si>
  <si>
    <t>H93</t>
    <phoneticPr fontId="2" type="noConversion"/>
  </si>
  <si>
    <t>H94</t>
    <phoneticPr fontId="2" type="noConversion"/>
  </si>
  <si>
    <t>H95</t>
    <phoneticPr fontId="2" type="noConversion"/>
  </si>
  <si>
    <t>H96</t>
    <phoneticPr fontId="2" type="noConversion"/>
  </si>
  <si>
    <t>H97</t>
    <phoneticPr fontId="2" type="noConversion"/>
  </si>
  <si>
    <t>H98</t>
    <phoneticPr fontId="2" type="noConversion"/>
  </si>
  <si>
    <t>H99</t>
    <phoneticPr fontId="2" type="noConversion"/>
  </si>
  <si>
    <t>H100</t>
    <phoneticPr fontId="2" type="noConversion"/>
  </si>
  <si>
    <t>H101</t>
    <phoneticPr fontId="2" type="noConversion"/>
  </si>
  <si>
    <t>H102</t>
    <phoneticPr fontId="2" type="noConversion"/>
  </si>
  <si>
    <t>H103</t>
    <phoneticPr fontId="2" type="noConversion"/>
  </si>
  <si>
    <t>H104</t>
    <phoneticPr fontId="2" type="noConversion"/>
  </si>
  <si>
    <t>H105</t>
    <phoneticPr fontId="2" type="noConversion"/>
  </si>
  <si>
    <t>H106</t>
    <phoneticPr fontId="2" type="noConversion"/>
  </si>
  <si>
    <t>H107</t>
    <phoneticPr fontId="2" type="noConversion"/>
  </si>
  <si>
    <t>H108</t>
    <phoneticPr fontId="2" type="noConversion"/>
  </si>
  <si>
    <t>H109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</si>
</sst>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);[Red]\(0.000\)"/>
  </numFmts>
  <fonts count="8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indexed="64"/>
      </left>
      <right style="thin">
        <color rgb="FFE5E7EB"/>
      </right>
      <top style="thin">
        <color rgb="FFE5E7EB"/>
      </top>
      <bottom/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176" fontId="6" fillId="0" borderId="1" xfId="0" applyNumberFormat="1" applyFont="1" applyBorder="1" applyAlignment="1">
      <alignment horizontal="left" vertical="center" wrapText="1"/>
    </xf>
    <xf numFmtId="176" fontId="6" fillId="0" borderId="0" xfId="0" applyNumberFormat="1" applyFont="1" applyAlignment="1">
      <alignment horizontal="left" vertical="center" wrapText="1"/>
    </xf>
    <xf numFmtId="176" fontId="1" fillId="0" borderId="0" xfId="0" applyNumberFormat="1" applyFont="1" applyAlignment="1">
      <alignment horizontal="left" vertical="center" wrapText="1"/>
    </xf>
    <xf numFmtId="176" fontId="1" fillId="0" borderId="2" xfId="0" applyNumberFormat="1" applyFont="1" applyBorder="1" applyAlignment="1">
      <alignment horizontal="left" vertical="center" wrapText="1"/>
    </xf>
    <xf numFmtId="176" fontId="0" fillId="0" borderId="1" xfId="0" applyNumberFormat="1" applyBorder="1" applyAlignment="1">
      <alignment horizontal="left" vertical="center"/>
    </xf>
    <xf numFmtId="176" fontId="0" fillId="0" borderId="0" xfId="0" applyNumberFormat="1" applyAlignment="1">
      <alignment horizontal="left" vertical="center"/>
    </xf>
    <xf numFmtId="176" fontId="3" fillId="2" borderId="1" xfId="0" applyNumberFormat="1" applyFont="1" applyFill="1" applyBorder="1" applyAlignment="1">
      <alignment horizontal="left" vertical="center" wrapText="1"/>
    </xf>
    <xf numFmtId="176" fontId="7" fillId="2" borderId="0" xfId="0" applyNumberFormat="1" applyFont="1" applyFill="1" applyAlignment="1">
      <alignment horizontal="left" vertical="center" wrapText="1"/>
    </xf>
    <xf numFmtId="176" fontId="4" fillId="2" borderId="0" xfId="0" applyNumberFormat="1" applyFont="1" applyFill="1" applyAlignment="1">
      <alignment horizontal="left" vertical="center" wrapText="1"/>
    </xf>
    <xf numFmtId="176" fontId="3" fillId="2" borderId="0" xfId="0" applyNumberFormat="1" applyFont="1" applyFill="1" applyAlignment="1">
      <alignment horizontal="left" vertical="center" wrapText="1"/>
    </xf>
    <xf numFmtId="176" fontId="3" fillId="2" borderId="2" xfId="0" applyNumberFormat="1" applyFont="1" applyFill="1" applyBorder="1" applyAlignment="1">
      <alignment horizontal="left" vertical="center" wrapText="1"/>
    </xf>
    <xf numFmtId="176" fontId="3" fillId="0" borderId="1" xfId="0" applyNumberFormat="1" applyFont="1" applyBorder="1" applyAlignment="1">
      <alignment horizontal="left" vertical="center" wrapText="1"/>
    </xf>
    <xf numFmtId="176" fontId="5" fillId="0" borderId="0" xfId="0" applyNumberFormat="1" applyFont="1" applyAlignment="1">
      <alignment horizontal="left" vertical="center" wrapText="1"/>
    </xf>
    <xf numFmtId="176" fontId="7" fillId="0" borderId="0" xfId="0" applyNumberFormat="1" applyFont="1" applyAlignment="1">
      <alignment horizontal="left" vertical="center" wrapText="1"/>
    </xf>
    <xf numFmtId="176" fontId="3" fillId="0" borderId="0" xfId="0" applyNumberFormat="1" applyFont="1" applyAlignment="1">
      <alignment horizontal="left" vertical="center" wrapText="1"/>
    </xf>
    <xf numFmtId="176" fontId="3" fillId="0" borderId="2" xfId="0" applyNumberFormat="1" applyFont="1" applyBorder="1" applyAlignment="1">
      <alignment horizontal="left" vertical="center" wrapText="1"/>
    </xf>
    <xf numFmtId="176" fontId="4" fillId="0" borderId="0" xfId="0" applyNumberFormat="1" applyFont="1" applyAlignment="1">
      <alignment horizontal="left" vertical="center" wrapText="1"/>
    </xf>
    <xf numFmtId="176" fontId="3" fillId="0" borderId="3" xfId="0" applyNumberFormat="1" applyFont="1" applyBorder="1" applyAlignment="1">
      <alignment horizontal="left" vertical="center" wrapText="1"/>
    </xf>
    <xf numFmtId="176" fontId="3" fillId="2" borderId="4" xfId="0" applyNumberFormat="1" applyFont="1" applyFill="1" applyBorder="1" applyAlignment="1">
      <alignment horizontal="left" vertical="center" wrapText="1"/>
    </xf>
    <xf numFmtId="176" fontId="1" fillId="2" borderId="0" xfId="0" applyNumberFormat="1" applyFont="1" applyFill="1" applyAlignment="1">
      <alignment horizontal="left" vertical="center" wrapText="1"/>
    </xf>
    <xf numFmtId="176" fontId="3" fillId="0" borderId="4" xfId="0" applyNumberFormat="1" applyFont="1" applyBorder="1" applyAlignment="1">
      <alignment horizontal="left" vertical="center" wrapText="1"/>
    </xf>
    <xf numFmtId="176" fontId="3" fillId="0" borderId="0" xfId="0" applyNumberFormat="1" applyFont="1" applyAlignment="1">
      <alignment horizontal="left" vertical="center"/>
    </xf>
    <xf numFmtId="176" fontId="1" fillId="0" borderId="0" xfId="0" applyNumberFormat="1" applyFont="1" applyAlignment="1">
      <alignment horizontal="left" vertical="center"/>
    </xf>
    <xf numFmtId="176" fontId="1" fillId="0" borderId="2" xfId="0" applyNumberFormat="1" applyFont="1" applyBorder="1" applyAlignment="1">
      <alignment horizontal="left" vertical="center"/>
    </xf>
    <xf numFmtId="176" fontId="0" fillId="2" borderId="0" xfId="0" applyNumberFormat="1" applyFill="1" applyAlignment="1">
      <alignment horizontal="left" vertical="center"/>
    </xf>
    <xf numFmtId="176" fontId="1" fillId="2" borderId="0" xfId="0" applyNumberFormat="1" applyFont="1" applyFill="1" applyAlignment="1">
      <alignment horizontal="left" vertical="center"/>
    </xf>
    <xf numFmtId="176" fontId="0" fillId="2" borderId="2" xfId="0" applyNumberFormat="1" applyFill="1" applyBorder="1" applyAlignment="1">
      <alignment horizontal="left" vertical="center"/>
    </xf>
    <xf numFmtId="176" fontId="0" fillId="0" borderId="2" xfId="0" applyNumberFormat="1" applyBorder="1" applyAlignment="1">
      <alignment horizontal="left" vertical="center"/>
    </xf>
    <xf numFmtId="176" fontId="6" fillId="2" borderId="0" xfId="0" applyNumberFormat="1" applyFont="1" applyFill="1" applyAlignment="1">
      <alignment horizontal="left" vertical="center" wrapText="1"/>
    </xf>
    <xf numFmtId="176" fontId="5" fillId="2" borderId="0" xfId="0" applyNumberFormat="1" applyFont="1" applyFill="1" applyAlignment="1">
      <alignment horizontal="left" vertical="center" wrapText="1"/>
    </xf>
    <xf numFmtId="176" fontId="3" fillId="2" borderId="2" xfId="0" applyNumberFormat="1" applyFont="1" applyFill="1" applyBorder="1" applyAlignment="1">
      <alignment horizontal="left" vertical="center"/>
    </xf>
    <xf numFmtId="176" fontId="3" fillId="0" borderId="1" xfId="0" applyNumberFormat="1" applyFont="1" applyBorder="1" applyAlignment="1">
      <alignment horizontal="left" vertical="center"/>
    </xf>
    <xf numFmtId="176" fontId="3" fillId="2" borderId="1" xfId="0" applyNumberFormat="1" applyFont="1" applyFill="1" applyBorder="1" applyAlignment="1">
      <alignment horizontal="left" vertical="center"/>
    </xf>
    <xf numFmtId="176" fontId="3" fillId="2" borderId="0" xfId="0" applyNumberFormat="1" applyFont="1" applyFill="1" applyAlignment="1">
      <alignment horizontal="left" vertical="center"/>
    </xf>
    <xf numFmtId="176" fontId="3" fillId="0" borderId="2" xfId="0" applyNumberFormat="1" applyFont="1" applyBorder="1" applyAlignment="1">
      <alignment horizontal="left" vertical="center"/>
    </xf>
    <xf numFmtId="176" fontId="0" fillId="2" borderId="1" xfId="0" applyNumberFormat="1" applyFill="1" applyBorder="1" applyAlignment="1">
      <alignment horizontal="left" vertical="center"/>
    </xf>
    <xf numFmtId="176" fontId="1" fillId="2" borderId="2" xfId="0" applyNumberFormat="1" applyFont="1" applyFill="1" applyBorder="1" applyAlignment="1">
      <alignment horizontal="left" vertical="center"/>
    </xf>
    <xf numFmtId="176" fontId="0" fillId="3" borderId="1" xfId="0" applyNumberFormat="1" applyFill="1" applyBorder="1" applyAlignment="1">
      <alignment horizontal="left" vertical="center"/>
    </xf>
    <xf numFmtId="176" fontId="0" fillId="3" borderId="0" xfId="0" applyNumberForma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6A733-9BF5-4E02-BF58-4A4E24DE2BDD}">
  <dimension ref="A1:AB89"/>
  <sheetViews>
    <sheetView tabSelected="1" topLeftCell="A63" workbookViewId="0">
      <selection activeCell="I89" sqref="I89"/>
    </sheetView>
  </sheetViews>
  <sheetFormatPr defaultColWidth="7.625" defaultRowHeight="14.25" customHeight="1" x14ac:dyDescent="0.2"/>
  <cols>
    <col min="1" max="1" width="7.625" style="5"/>
    <col min="2" max="2" width="8.5" style="6" bestFit="1" customWidth="1"/>
    <col min="3" max="3" width="7.75" style="6" bestFit="1" customWidth="1"/>
    <col min="4" max="4" width="7.625" style="6" customWidth="1"/>
    <col min="5" max="5" width="8.625" style="6" bestFit="1" customWidth="1"/>
    <col min="6" max="6" width="8.375" style="6" bestFit="1" customWidth="1"/>
    <col min="7" max="7" width="8.5" style="6" bestFit="1" customWidth="1"/>
    <col min="8" max="8" width="8.375" style="6" bestFit="1" customWidth="1"/>
    <col min="9" max="9" width="8.5" style="28" bestFit="1" customWidth="1"/>
    <col min="10" max="10" width="7.625" style="5"/>
    <col min="11" max="11" width="8.5" style="6" bestFit="1" customWidth="1"/>
    <col min="12" max="13" width="7.75" style="6" bestFit="1" customWidth="1"/>
    <col min="14" max="14" width="8.5" style="6" bestFit="1" customWidth="1"/>
    <col min="15" max="17" width="7.75" style="6" bestFit="1" customWidth="1"/>
    <col min="18" max="18" width="7.75" style="28" bestFit="1" customWidth="1"/>
    <col min="19" max="19" width="7.625" style="5"/>
    <col min="20" max="26" width="7.75" style="6" bestFit="1" customWidth="1"/>
    <col min="27" max="27" width="7.75" style="28" bestFit="1" customWidth="1"/>
    <col min="28" max="28" width="7.625" style="5"/>
    <col min="29" max="16384" width="7.625" style="6"/>
  </cols>
  <sheetData>
    <row r="1" spans="1:27" s="6" customFormat="1" ht="14.25" customHeight="1" x14ac:dyDescent="0.2">
      <c r="A1" s="1" t="s">
        <v>15</v>
      </c>
      <c r="B1" s="2" t="s">
        <v>14</v>
      </c>
      <c r="C1" s="2" t="s">
        <v>13</v>
      </c>
      <c r="D1" s="3" t="s">
        <v>16</v>
      </c>
      <c r="E1" s="3" t="s">
        <v>20</v>
      </c>
      <c r="F1" s="3" t="s">
        <v>10</v>
      </c>
      <c r="G1" s="3" t="s">
        <v>11</v>
      </c>
      <c r="H1" s="3" t="s">
        <v>12</v>
      </c>
      <c r="I1" s="4" t="s">
        <v>17</v>
      </c>
      <c r="J1" s="1" t="s">
        <v>29</v>
      </c>
      <c r="K1" s="2" t="s">
        <v>14</v>
      </c>
      <c r="L1" s="2" t="s">
        <v>13</v>
      </c>
      <c r="M1" s="3" t="s">
        <v>16</v>
      </c>
      <c r="N1" s="3" t="s">
        <v>20</v>
      </c>
      <c r="O1" s="3" t="s">
        <v>10</v>
      </c>
      <c r="P1" s="3" t="s">
        <v>11</v>
      </c>
      <c r="Q1" s="3" t="s">
        <v>12</v>
      </c>
      <c r="R1" s="4" t="s">
        <v>17</v>
      </c>
      <c r="S1" s="1" t="s">
        <v>15</v>
      </c>
      <c r="T1" s="2" t="s">
        <v>14</v>
      </c>
      <c r="U1" s="2" t="s">
        <v>13</v>
      </c>
      <c r="V1" s="3" t="s">
        <v>16</v>
      </c>
      <c r="W1" s="3" t="s">
        <v>20</v>
      </c>
      <c r="X1" s="3" t="s">
        <v>10</v>
      </c>
      <c r="Y1" s="3" t="s">
        <v>11</v>
      </c>
      <c r="Z1" s="3" t="s">
        <v>12</v>
      </c>
      <c r="AA1" s="4" t="s">
        <v>17</v>
      </c>
    </row>
    <row r="2" spans="1:27" s="6" customFormat="1" ht="14.25" customHeight="1" x14ac:dyDescent="0.2">
      <c r="A2" s="7" t="s">
        <v>26</v>
      </c>
      <c r="B2" s="8">
        <v>1</v>
      </c>
      <c r="C2" s="8">
        <v>1</v>
      </c>
      <c r="D2" s="9">
        <f>SUM(F2:H2)</f>
        <v>502.82600000000002</v>
      </c>
      <c r="E2" s="8">
        <v>369.63</v>
      </c>
      <c r="F2" s="10">
        <v>174.90100000000001</v>
      </c>
      <c r="G2" s="10">
        <v>144.89099999999999</v>
      </c>
      <c r="H2" s="10">
        <v>183.03399999999999</v>
      </c>
      <c r="I2" s="11">
        <v>293.09399999999999</v>
      </c>
      <c r="J2" s="7" t="s">
        <v>26</v>
      </c>
      <c r="K2" s="8">
        <v>1</v>
      </c>
      <c r="L2" s="8">
        <v>1</v>
      </c>
      <c r="M2" s="9">
        <v>41.709999999999994</v>
      </c>
      <c r="N2" s="8">
        <v>93.962000000000003</v>
      </c>
      <c r="O2" s="10">
        <v>6.5910000000000002</v>
      </c>
      <c r="P2" s="10">
        <v>15.557</v>
      </c>
      <c r="Q2" s="10">
        <v>19.559999999999999</v>
      </c>
      <c r="R2" s="11">
        <v>33.963999999999999</v>
      </c>
      <c r="S2" s="7" t="s">
        <v>26</v>
      </c>
      <c r="T2" s="8">
        <f t="shared" ref="T2:T20" si="0">ROUND(B2/K2,3)</f>
        <v>1</v>
      </c>
      <c r="U2" s="8">
        <f t="shared" ref="U2:U20" si="1">ROUND(C2/L2,3)</f>
        <v>1</v>
      </c>
      <c r="V2" s="9">
        <f t="shared" ref="V2:V20" si="2">ROUND(D2/M2,3)</f>
        <v>12.055</v>
      </c>
      <c r="W2" s="8">
        <f t="shared" ref="W2:W20" si="3">ROUND(E2/N2,3)</f>
        <v>3.9340000000000002</v>
      </c>
      <c r="X2" s="10">
        <f t="shared" ref="X2:X20" si="4">ROUND(F2/O2,3)</f>
        <v>26.536000000000001</v>
      </c>
      <c r="Y2" s="10">
        <f t="shared" ref="Y2:Y20" si="5">ROUND(G2/P2,3)</f>
        <v>9.3140000000000001</v>
      </c>
      <c r="Z2" s="10">
        <f t="shared" ref="Z2:Z20" si="6">ROUND(H2/Q2,3)</f>
        <v>9.3580000000000005</v>
      </c>
      <c r="AA2" s="11">
        <f t="shared" ref="AA2:AA20" si="7">ROUND(I2/R2,3)</f>
        <v>8.6300000000000008</v>
      </c>
    </row>
    <row r="3" spans="1:27" s="6" customFormat="1" ht="14.25" customHeight="1" x14ac:dyDescent="0.2">
      <c r="A3" s="12" t="s">
        <v>0</v>
      </c>
      <c r="B3" s="2">
        <f>D$2/D3</f>
        <v>1.5134967552403771</v>
      </c>
      <c r="C3" s="2">
        <f>D2/D3</f>
        <v>1.5134967552403771</v>
      </c>
      <c r="D3" s="13">
        <f t="shared" ref="D3:D14" si="8">SUM(F3:H3)</f>
        <v>332.22800000000001</v>
      </c>
      <c r="E3" s="14">
        <v>360.67099999999999</v>
      </c>
      <c r="F3" s="15">
        <v>175.399</v>
      </c>
      <c r="G3" s="15">
        <v>153.864</v>
      </c>
      <c r="H3" s="3">
        <v>2.9649999999999999</v>
      </c>
      <c r="I3" s="16">
        <v>295.49099999999999</v>
      </c>
      <c r="J3" s="12" t="s">
        <v>0</v>
      </c>
      <c r="K3" s="2">
        <f>M$2/M3</f>
        <v>1.8221930974224549</v>
      </c>
      <c r="L3" s="2">
        <f>M2/M3</f>
        <v>1.8221930974224549</v>
      </c>
      <c r="M3" s="13">
        <v>22.89</v>
      </c>
      <c r="N3" s="14">
        <v>89.093999999999994</v>
      </c>
      <c r="O3" s="15">
        <v>6.74</v>
      </c>
      <c r="P3" s="15">
        <v>15.535</v>
      </c>
      <c r="Q3" s="3">
        <v>0.60699999999999998</v>
      </c>
      <c r="R3" s="16">
        <v>33.75</v>
      </c>
      <c r="S3" s="12" t="s">
        <v>0</v>
      </c>
      <c r="T3" s="2">
        <f t="shared" si="0"/>
        <v>0.83099999999999996</v>
      </c>
      <c r="U3" s="2">
        <f t="shared" si="1"/>
        <v>0.83099999999999996</v>
      </c>
      <c r="V3" s="13">
        <f t="shared" si="2"/>
        <v>14.513999999999999</v>
      </c>
      <c r="W3" s="14">
        <f t="shared" si="3"/>
        <v>4.048</v>
      </c>
      <c r="X3" s="15">
        <f t="shared" si="4"/>
        <v>26.024000000000001</v>
      </c>
      <c r="Y3" s="15">
        <f t="shared" si="5"/>
        <v>9.9039999999999999</v>
      </c>
      <c r="Z3" s="3">
        <f t="shared" si="6"/>
        <v>4.8849999999999998</v>
      </c>
      <c r="AA3" s="16">
        <f t="shared" si="7"/>
        <v>8.7550000000000008</v>
      </c>
    </row>
    <row r="4" spans="1:27" s="6" customFormat="1" ht="14.25" customHeight="1" x14ac:dyDescent="0.2">
      <c r="A4" s="12" t="s">
        <v>1</v>
      </c>
      <c r="B4" s="2">
        <f t="shared" ref="B4:B21" si="9">D$2/D4</f>
        <v>2.0672861077992022</v>
      </c>
      <c r="C4" s="2">
        <f t="shared" ref="C4:C21" si="10">D3/D4</f>
        <v>1.3659005879208979</v>
      </c>
      <c r="D4" s="13">
        <f t="shared" si="8"/>
        <v>243.23000000000002</v>
      </c>
      <c r="E4" s="14">
        <v>358.83699999999999</v>
      </c>
      <c r="F4" s="3">
        <v>91.105000000000004</v>
      </c>
      <c r="G4" s="15">
        <v>149.25299999999999</v>
      </c>
      <c r="H4" s="15">
        <v>2.8719999999999999</v>
      </c>
      <c r="I4" s="16">
        <v>295.81599999999997</v>
      </c>
      <c r="J4" s="12" t="s">
        <v>1</v>
      </c>
      <c r="K4" s="2">
        <f t="shared" ref="K4:K21" si="11">M$2/M4</f>
        <v>1.9852451213707754</v>
      </c>
      <c r="L4" s="2">
        <f t="shared" ref="L4:L21" si="12">M3/M4</f>
        <v>1.0894811994288434</v>
      </c>
      <c r="M4" s="13">
        <f t="shared" ref="M4:M21" si="13">SUM(O4:Q4)</f>
        <v>21.01</v>
      </c>
      <c r="N4" s="14">
        <v>89.146000000000001</v>
      </c>
      <c r="O4" s="3">
        <v>4.7709999999999999</v>
      </c>
      <c r="P4" s="15">
        <v>15.635999999999999</v>
      </c>
      <c r="Q4" s="15">
        <v>0.60299999999999998</v>
      </c>
      <c r="R4" s="16">
        <v>33.957999999999998</v>
      </c>
      <c r="S4" s="12" t="s">
        <v>1</v>
      </c>
      <c r="T4" s="2">
        <f t="shared" si="0"/>
        <v>1.0409999999999999</v>
      </c>
      <c r="U4" s="2">
        <f t="shared" si="1"/>
        <v>1.254</v>
      </c>
      <c r="V4" s="13">
        <f t="shared" si="2"/>
        <v>11.577</v>
      </c>
      <c r="W4" s="14">
        <f t="shared" si="3"/>
        <v>4.0250000000000004</v>
      </c>
      <c r="X4" s="3">
        <f t="shared" si="4"/>
        <v>19.096</v>
      </c>
      <c r="Y4" s="15">
        <f t="shared" si="5"/>
        <v>9.5449999999999999</v>
      </c>
      <c r="Z4" s="15">
        <f t="shared" si="6"/>
        <v>4.7629999999999999</v>
      </c>
      <c r="AA4" s="16">
        <f t="shared" si="7"/>
        <v>8.7110000000000003</v>
      </c>
    </row>
    <row r="5" spans="1:27" s="6" customFormat="1" ht="14.25" customHeight="1" x14ac:dyDescent="0.2">
      <c r="A5" s="12" t="s">
        <v>2</v>
      </c>
      <c r="B5" s="2">
        <f t="shared" si="9"/>
        <v>2.2114003491967154</v>
      </c>
      <c r="C5" s="2">
        <f t="shared" si="10"/>
        <v>1.0697118027610288</v>
      </c>
      <c r="D5" s="13">
        <f t="shared" si="8"/>
        <v>227.37900000000002</v>
      </c>
      <c r="E5" s="14">
        <v>373.601</v>
      </c>
      <c r="F5" s="15">
        <v>92.293000000000006</v>
      </c>
      <c r="G5" s="3">
        <v>132.24100000000001</v>
      </c>
      <c r="H5" s="15">
        <v>2.8450000000000002</v>
      </c>
      <c r="I5" s="16">
        <v>297.08999999999997</v>
      </c>
      <c r="J5" s="12" t="s">
        <v>2</v>
      </c>
      <c r="K5" s="2">
        <f t="shared" si="11"/>
        <v>3.4363157027516884</v>
      </c>
      <c r="L5" s="2">
        <f t="shared" si="12"/>
        <v>1.7309276651837207</v>
      </c>
      <c r="M5" s="13">
        <f t="shared" si="13"/>
        <v>12.138</v>
      </c>
      <c r="N5" s="14">
        <v>89.783000000000001</v>
      </c>
      <c r="O5" s="15">
        <v>4.8150000000000004</v>
      </c>
      <c r="P5" s="3">
        <v>6.71</v>
      </c>
      <c r="Q5" s="15">
        <v>0.61299999999999999</v>
      </c>
      <c r="R5" s="16">
        <v>34.091000000000001</v>
      </c>
      <c r="S5" s="12" t="s">
        <v>2</v>
      </c>
      <c r="T5" s="2">
        <f t="shared" si="0"/>
        <v>0.64400000000000002</v>
      </c>
      <c r="U5" s="2">
        <f t="shared" si="1"/>
        <v>0.61799999999999999</v>
      </c>
      <c r="V5" s="13">
        <f t="shared" si="2"/>
        <v>18.733000000000001</v>
      </c>
      <c r="W5" s="14">
        <f t="shared" si="3"/>
        <v>4.1609999999999996</v>
      </c>
      <c r="X5" s="15">
        <f t="shared" si="4"/>
        <v>19.167999999999999</v>
      </c>
      <c r="Y5" s="3">
        <f t="shared" si="5"/>
        <v>19.707999999999998</v>
      </c>
      <c r="Z5" s="15">
        <f t="shared" si="6"/>
        <v>4.641</v>
      </c>
      <c r="AA5" s="16">
        <f t="shared" si="7"/>
        <v>8.7149999999999999</v>
      </c>
    </row>
    <row r="6" spans="1:27" s="6" customFormat="1" ht="14.25" customHeight="1" x14ac:dyDescent="0.2">
      <c r="A6" s="12" t="s">
        <v>3</v>
      </c>
      <c r="B6" s="14">
        <f t="shared" si="9"/>
        <v>2.2126264559763786</v>
      </c>
      <c r="C6" s="14">
        <f t="shared" si="10"/>
        <v>1.0005544481260973</v>
      </c>
      <c r="D6" s="17">
        <f t="shared" si="8"/>
        <v>227.25300000000001</v>
      </c>
      <c r="E6" s="14">
        <v>372.00700000000001</v>
      </c>
      <c r="F6" s="15">
        <v>92.995000000000005</v>
      </c>
      <c r="G6" s="15">
        <v>131.465</v>
      </c>
      <c r="H6" s="15">
        <v>2.7930000000000001</v>
      </c>
      <c r="I6" s="4">
        <v>112.14100000000001</v>
      </c>
      <c r="J6" s="12" t="s">
        <v>3</v>
      </c>
      <c r="K6" s="14">
        <f t="shared" si="11"/>
        <v>3.4448298645523616</v>
      </c>
      <c r="L6" s="14">
        <f t="shared" si="12"/>
        <v>1.0024777006937562</v>
      </c>
      <c r="M6" s="17">
        <f t="shared" si="13"/>
        <v>12.108000000000001</v>
      </c>
      <c r="N6" s="14">
        <v>89.960999999999999</v>
      </c>
      <c r="O6" s="15">
        <v>4.7889999999999997</v>
      </c>
      <c r="P6" s="15">
        <v>6.694</v>
      </c>
      <c r="Q6" s="15">
        <v>0.625</v>
      </c>
      <c r="R6" s="4">
        <v>6.0990000000000002</v>
      </c>
      <c r="S6" s="12" t="s">
        <v>3</v>
      </c>
      <c r="T6" s="14">
        <f t="shared" si="0"/>
        <v>0.64200000000000002</v>
      </c>
      <c r="U6" s="14">
        <f t="shared" si="1"/>
        <v>0.998</v>
      </c>
      <c r="V6" s="17">
        <f t="shared" si="2"/>
        <v>18.768999999999998</v>
      </c>
      <c r="W6" s="14">
        <f t="shared" si="3"/>
        <v>4.1349999999999998</v>
      </c>
      <c r="X6" s="15">
        <f t="shared" si="4"/>
        <v>19.417999999999999</v>
      </c>
      <c r="Y6" s="15">
        <f t="shared" si="5"/>
        <v>19.638999999999999</v>
      </c>
      <c r="Z6" s="15">
        <f t="shared" si="6"/>
        <v>4.4690000000000003</v>
      </c>
      <c r="AA6" s="4">
        <f t="shared" si="7"/>
        <v>18.387</v>
      </c>
    </row>
    <row r="7" spans="1:27" s="6" customFormat="1" ht="14.25" customHeight="1" x14ac:dyDescent="0.2">
      <c r="A7" s="12" t="s">
        <v>4</v>
      </c>
      <c r="B7" s="14">
        <f t="shared" si="9"/>
        <v>2.1727009147513927</v>
      </c>
      <c r="C7" s="14">
        <f t="shared" si="10"/>
        <v>0.98195558897113155</v>
      </c>
      <c r="D7" s="17">
        <f t="shared" si="8"/>
        <v>231.429</v>
      </c>
      <c r="E7" s="14">
        <v>524.05499999999995</v>
      </c>
      <c r="F7" s="15">
        <v>98.24</v>
      </c>
      <c r="G7" s="15">
        <v>131.75299999999999</v>
      </c>
      <c r="H7" s="3">
        <v>1.4359999999999999</v>
      </c>
      <c r="I7" s="16">
        <v>112.986</v>
      </c>
      <c r="J7" s="12" t="s">
        <v>4</v>
      </c>
      <c r="K7" s="14">
        <f t="shared" si="11"/>
        <v>3.5680068434559442</v>
      </c>
      <c r="L7" s="14">
        <f t="shared" si="12"/>
        <v>1.0357570573139434</v>
      </c>
      <c r="M7" s="17">
        <f t="shared" si="13"/>
        <v>11.690000000000001</v>
      </c>
      <c r="N7" s="14">
        <v>100.861</v>
      </c>
      <c r="O7" s="15">
        <v>4.7089999999999996</v>
      </c>
      <c r="P7" s="15">
        <v>6.71</v>
      </c>
      <c r="Q7" s="3">
        <v>0.27100000000000002</v>
      </c>
      <c r="R7" s="16">
        <v>6.0490000000000004</v>
      </c>
      <c r="S7" s="12" t="s">
        <v>4</v>
      </c>
      <c r="T7" s="14">
        <f t="shared" si="0"/>
        <v>0.60899999999999999</v>
      </c>
      <c r="U7" s="14">
        <f t="shared" si="1"/>
        <v>0.94799999999999995</v>
      </c>
      <c r="V7" s="17">
        <f t="shared" si="2"/>
        <v>19.797000000000001</v>
      </c>
      <c r="W7" s="14">
        <f t="shared" si="3"/>
        <v>5.1959999999999997</v>
      </c>
      <c r="X7" s="15">
        <f t="shared" si="4"/>
        <v>20.861999999999998</v>
      </c>
      <c r="Y7" s="15">
        <f t="shared" si="5"/>
        <v>19.635000000000002</v>
      </c>
      <c r="Z7" s="3">
        <f t="shared" si="6"/>
        <v>5.2990000000000004</v>
      </c>
      <c r="AA7" s="16">
        <f t="shared" si="7"/>
        <v>18.678000000000001</v>
      </c>
    </row>
    <row r="8" spans="1:27" s="6" customFormat="1" ht="14.25" customHeight="1" x14ac:dyDescent="0.2">
      <c r="A8" s="7" t="s">
        <v>5</v>
      </c>
      <c r="B8" s="8">
        <f t="shared" si="9"/>
        <v>2.1581904414447286</v>
      </c>
      <c r="C8" s="8">
        <f t="shared" si="10"/>
        <v>0.99332145846299125</v>
      </c>
      <c r="D8" s="9">
        <f t="shared" si="8"/>
        <v>232.98499999999999</v>
      </c>
      <c r="E8" s="8">
        <v>667.65899999999999</v>
      </c>
      <c r="F8" s="10">
        <v>98.751999999999995</v>
      </c>
      <c r="G8" s="10">
        <v>132.87899999999999</v>
      </c>
      <c r="H8" s="10">
        <v>1.3540000000000001</v>
      </c>
      <c r="I8" s="11">
        <v>114.881</v>
      </c>
      <c r="J8" s="7" t="s">
        <v>5</v>
      </c>
      <c r="K8" s="8">
        <f t="shared" si="11"/>
        <v>3.5901187812015838</v>
      </c>
      <c r="L8" s="8">
        <f t="shared" si="12"/>
        <v>1.0061972800826307</v>
      </c>
      <c r="M8" s="9">
        <f t="shared" si="13"/>
        <v>11.617999999999999</v>
      </c>
      <c r="N8" s="8">
        <v>121.395</v>
      </c>
      <c r="O8" s="10">
        <v>4.7489999999999997</v>
      </c>
      <c r="P8" s="10">
        <v>6.6020000000000003</v>
      </c>
      <c r="Q8" s="10">
        <v>0.26700000000000002</v>
      </c>
      <c r="R8" s="11">
        <v>6.0209999999999999</v>
      </c>
      <c r="S8" s="7" t="s">
        <v>5</v>
      </c>
      <c r="T8" s="8">
        <f t="shared" si="0"/>
        <v>0.60099999999999998</v>
      </c>
      <c r="U8" s="8">
        <f t="shared" si="1"/>
        <v>0.98699999999999999</v>
      </c>
      <c r="V8" s="9">
        <f t="shared" si="2"/>
        <v>20.053999999999998</v>
      </c>
      <c r="W8" s="8">
        <f t="shared" si="3"/>
        <v>5.5</v>
      </c>
      <c r="X8" s="10">
        <f t="shared" si="4"/>
        <v>20.794</v>
      </c>
      <c r="Y8" s="10">
        <f t="shared" si="5"/>
        <v>20.126999999999999</v>
      </c>
      <c r="Z8" s="10">
        <f t="shared" si="6"/>
        <v>5.0709999999999997</v>
      </c>
      <c r="AA8" s="11">
        <f t="shared" si="7"/>
        <v>19.079999999999998</v>
      </c>
    </row>
    <row r="9" spans="1:27" s="6" customFormat="1" ht="14.25" customHeight="1" x14ac:dyDescent="0.2">
      <c r="A9" s="12" t="s">
        <v>6</v>
      </c>
      <c r="B9" s="14">
        <f t="shared" si="9"/>
        <v>2.166093006224826</v>
      </c>
      <c r="C9" s="14">
        <f t="shared" si="10"/>
        <v>1.0036616623947272</v>
      </c>
      <c r="D9" s="17">
        <f t="shared" si="8"/>
        <v>232.13499999999999</v>
      </c>
      <c r="E9" s="14">
        <v>669.90499999999997</v>
      </c>
      <c r="F9" s="15">
        <v>100.221</v>
      </c>
      <c r="G9" s="15">
        <v>130.524</v>
      </c>
      <c r="H9" s="15">
        <v>1.39</v>
      </c>
      <c r="I9" s="16">
        <v>112.53</v>
      </c>
      <c r="J9" s="12" t="s">
        <v>6</v>
      </c>
      <c r="K9" s="14">
        <f t="shared" si="11"/>
        <v>3.5680068434559447</v>
      </c>
      <c r="L9" s="14">
        <f t="shared" si="12"/>
        <v>0.99384088964927275</v>
      </c>
      <c r="M9" s="17">
        <f t="shared" si="13"/>
        <v>11.69</v>
      </c>
      <c r="N9" s="14">
        <v>123.248</v>
      </c>
      <c r="O9" s="15">
        <v>4.7539999999999996</v>
      </c>
      <c r="P9" s="15">
        <v>6.66</v>
      </c>
      <c r="Q9" s="15">
        <v>0.27600000000000002</v>
      </c>
      <c r="R9" s="16">
        <v>6.0449999999999999</v>
      </c>
      <c r="S9" s="12" t="s">
        <v>6</v>
      </c>
      <c r="T9" s="14">
        <f t="shared" si="0"/>
        <v>0.60699999999999998</v>
      </c>
      <c r="U9" s="14">
        <f t="shared" si="1"/>
        <v>1.01</v>
      </c>
      <c r="V9" s="17">
        <f t="shared" si="2"/>
        <v>19.858000000000001</v>
      </c>
      <c r="W9" s="14">
        <f t="shared" si="3"/>
        <v>5.4349999999999996</v>
      </c>
      <c r="X9" s="15">
        <f t="shared" si="4"/>
        <v>21.081</v>
      </c>
      <c r="Y9" s="15">
        <f t="shared" si="5"/>
        <v>19.597999999999999</v>
      </c>
      <c r="Z9" s="15">
        <f t="shared" si="6"/>
        <v>5.0359999999999996</v>
      </c>
      <c r="AA9" s="16">
        <f t="shared" si="7"/>
        <v>18.614999999999998</v>
      </c>
    </row>
    <row r="10" spans="1:27" s="6" customFormat="1" ht="14.25" customHeight="1" x14ac:dyDescent="0.2">
      <c r="A10" s="12" t="s">
        <v>7</v>
      </c>
      <c r="B10" s="14">
        <f t="shared" si="9"/>
        <v>2.1770375116899312</v>
      </c>
      <c r="C10" s="14">
        <f t="shared" si="10"/>
        <v>1.0050526479858681</v>
      </c>
      <c r="D10" s="17">
        <f t="shared" si="8"/>
        <v>230.96800000000002</v>
      </c>
      <c r="E10" s="2">
        <v>338.84500000000003</v>
      </c>
      <c r="F10" s="15">
        <v>98.206000000000003</v>
      </c>
      <c r="G10" s="15">
        <v>131.392</v>
      </c>
      <c r="H10" s="15">
        <v>1.37</v>
      </c>
      <c r="I10" s="16">
        <v>112.42700000000001</v>
      </c>
      <c r="J10" s="12" t="s">
        <v>7</v>
      </c>
      <c r="K10" s="14">
        <f t="shared" si="11"/>
        <v>3.6128194023386744</v>
      </c>
      <c r="L10" s="14">
        <f t="shared" si="12"/>
        <v>1.0125595495885664</v>
      </c>
      <c r="M10" s="17">
        <f t="shared" si="13"/>
        <v>11.545</v>
      </c>
      <c r="N10" s="2">
        <v>101.71899999999999</v>
      </c>
      <c r="O10" s="15">
        <v>4.6959999999999997</v>
      </c>
      <c r="P10" s="15">
        <v>6.5730000000000004</v>
      </c>
      <c r="Q10" s="15">
        <v>0.27600000000000002</v>
      </c>
      <c r="R10" s="16">
        <v>5.9649999999999999</v>
      </c>
      <c r="S10" s="12" t="s">
        <v>7</v>
      </c>
      <c r="T10" s="14">
        <f t="shared" si="0"/>
        <v>0.60299999999999998</v>
      </c>
      <c r="U10" s="14">
        <f t="shared" si="1"/>
        <v>0.99299999999999999</v>
      </c>
      <c r="V10" s="17">
        <f t="shared" si="2"/>
        <v>20.006</v>
      </c>
      <c r="W10" s="2">
        <f t="shared" si="3"/>
        <v>3.331</v>
      </c>
      <c r="X10" s="15">
        <f t="shared" si="4"/>
        <v>20.913</v>
      </c>
      <c r="Y10" s="15">
        <f t="shared" si="5"/>
        <v>19.989999999999998</v>
      </c>
      <c r="Z10" s="15">
        <f t="shared" si="6"/>
        <v>4.9640000000000004</v>
      </c>
      <c r="AA10" s="16">
        <f t="shared" si="7"/>
        <v>18.847999999999999</v>
      </c>
    </row>
    <row r="11" spans="1:27" s="6" customFormat="1" ht="14.25" customHeight="1" x14ac:dyDescent="0.2">
      <c r="A11" s="12" t="s">
        <v>8</v>
      </c>
      <c r="B11" s="2">
        <f t="shared" si="9"/>
        <v>2.6913269675430334</v>
      </c>
      <c r="C11" s="2">
        <f t="shared" si="10"/>
        <v>1.2362336216493963</v>
      </c>
      <c r="D11" s="13">
        <f t="shared" si="8"/>
        <v>186.83199999999999</v>
      </c>
      <c r="E11" s="14">
        <v>290.02999999999997</v>
      </c>
      <c r="F11" s="3">
        <v>53.185000000000002</v>
      </c>
      <c r="G11" s="15">
        <v>132.06299999999999</v>
      </c>
      <c r="H11" s="15">
        <v>1.5840000000000001</v>
      </c>
      <c r="I11" s="16">
        <v>111.931</v>
      </c>
      <c r="J11" s="12" t="s">
        <v>8</v>
      </c>
      <c r="K11" s="2">
        <f t="shared" si="11"/>
        <v>3.9841436622409008</v>
      </c>
      <c r="L11" s="2">
        <f t="shared" si="12"/>
        <v>1.1027796351131911</v>
      </c>
      <c r="M11" s="13">
        <f t="shared" si="13"/>
        <v>10.469000000000001</v>
      </c>
      <c r="N11" s="14">
        <v>99.823999999999998</v>
      </c>
      <c r="O11" s="3">
        <v>1.8260000000000001</v>
      </c>
      <c r="P11" s="15">
        <v>8.3689999999999998</v>
      </c>
      <c r="Q11" s="15">
        <v>0.27400000000000002</v>
      </c>
      <c r="R11" s="16">
        <v>7.8120000000000003</v>
      </c>
      <c r="S11" s="12" t="s">
        <v>8</v>
      </c>
      <c r="T11" s="2">
        <f t="shared" si="0"/>
        <v>0.67600000000000005</v>
      </c>
      <c r="U11" s="2">
        <f t="shared" si="1"/>
        <v>1.121</v>
      </c>
      <c r="V11" s="13">
        <f t="shared" si="2"/>
        <v>17.846</v>
      </c>
      <c r="W11" s="14">
        <f t="shared" si="3"/>
        <v>2.9049999999999998</v>
      </c>
      <c r="X11" s="3">
        <f t="shared" si="4"/>
        <v>29.126999999999999</v>
      </c>
      <c r="Y11" s="15">
        <f t="shared" si="5"/>
        <v>15.78</v>
      </c>
      <c r="Z11" s="15">
        <f t="shared" si="6"/>
        <v>5.7809999999999997</v>
      </c>
      <c r="AA11" s="16">
        <f t="shared" si="7"/>
        <v>14.327999999999999</v>
      </c>
    </row>
    <row r="12" spans="1:27" s="6" customFormat="1" ht="14.25" customHeight="1" x14ac:dyDescent="0.2">
      <c r="A12" s="12" t="s">
        <v>9</v>
      </c>
      <c r="B12" s="2">
        <f t="shared" si="9"/>
        <v>2.9142913445154108</v>
      </c>
      <c r="C12" s="2">
        <f t="shared" si="10"/>
        <v>1.0828455180887688</v>
      </c>
      <c r="D12" s="13">
        <f t="shared" si="8"/>
        <v>172.53800000000001</v>
      </c>
      <c r="E12" s="14">
        <v>290.173</v>
      </c>
      <c r="F12" s="15">
        <v>52.207999999999998</v>
      </c>
      <c r="G12" s="3">
        <v>118.91800000000001</v>
      </c>
      <c r="H12" s="15">
        <v>1.4119999999999999</v>
      </c>
      <c r="I12" s="4">
        <v>93.929000000000002</v>
      </c>
      <c r="J12" s="12" t="s">
        <v>9</v>
      </c>
      <c r="K12" s="2">
        <f t="shared" si="11"/>
        <v>4.8875087883759081</v>
      </c>
      <c r="L12" s="2">
        <f t="shared" si="12"/>
        <v>1.2267400984298105</v>
      </c>
      <c r="M12" s="13">
        <f t="shared" si="13"/>
        <v>8.5339999999999989</v>
      </c>
      <c r="N12" s="14">
        <v>100.41500000000001</v>
      </c>
      <c r="O12" s="15">
        <v>1.7929999999999999</v>
      </c>
      <c r="P12" s="3">
        <v>6.4640000000000004</v>
      </c>
      <c r="Q12" s="15">
        <v>0.27700000000000002</v>
      </c>
      <c r="R12" s="4">
        <v>5.4390000000000001</v>
      </c>
      <c r="S12" s="12" t="s">
        <v>9</v>
      </c>
      <c r="T12" s="2">
        <f t="shared" si="0"/>
        <v>0.59599999999999997</v>
      </c>
      <c r="U12" s="2">
        <f t="shared" si="1"/>
        <v>0.88300000000000001</v>
      </c>
      <c r="V12" s="13">
        <f t="shared" si="2"/>
        <v>20.218</v>
      </c>
      <c r="W12" s="14">
        <f t="shared" si="3"/>
        <v>2.89</v>
      </c>
      <c r="X12" s="15">
        <f t="shared" si="4"/>
        <v>29.117999999999999</v>
      </c>
      <c r="Y12" s="3">
        <f t="shared" si="5"/>
        <v>18.396999999999998</v>
      </c>
      <c r="Z12" s="15">
        <f t="shared" si="6"/>
        <v>5.0970000000000004</v>
      </c>
      <c r="AA12" s="4">
        <f t="shared" si="7"/>
        <v>17.27</v>
      </c>
    </row>
    <row r="13" spans="1:27" s="6" customFormat="1" ht="14.25" customHeight="1" x14ac:dyDescent="0.2">
      <c r="A13" s="18" t="s">
        <v>18</v>
      </c>
      <c r="B13" s="2">
        <f t="shared" si="9"/>
        <v>3.335473728200808</v>
      </c>
      <c r="C13" s="2">
        <f t="shared" si="10"/>
        <v>1.1445230877407115</v>
      </c>
      <c r="D13" s="13">
        <f t="shared" si="8"/>
        <v>150.751</v>
      </c>
      <c r="E13" s="14">
        <v>292.86599999999999</v>
      </c>
      <c r="F13" s="3">
        <v>30.736999999999998</v>
      </c>
      <c r="G13" s="15">
        <v>118.51</v>
      </c>
      <c r="H13" s="15">
        <v>1.504</v>
      </c>
      <c r="I13" s="16">
        <v>94.272000000000006</v>
      </c>
      <c r="J13" s="18" t="s">
        <v>18</v>
      </c>
      <c r="K13" s="2">
        <f t="shared" si="11"/>
        <v>5.2491819783538878</v>
      </c>
      <c r="L13" s="2">
        <f t="shared" si="12"/>
        <v>1.0739994966020638</v>
      </c>
      <c r="M13" s="13">
        <f t="shared" si="13"/>
        <v>7.9459999999999997</v>
      </c>
      <c r="N13" s="14">
        <v>101.892</v>
      </c>
      <c r="O13" s="3">
        <v>1.159</v>
      </c>
      <c r="P13" s="15">
        <v>6.516</v>
      </c>
      <c r="Q13" s="15">
        <v>0.27100000000000002</v>
      </c>
      <c r="R13" s="16">
        <v>5.4720000000000004</v>
      </c>
      <c r="S13" s="18" t="s">
        <v>18</v>
      </c>
      <c r="T13" s="2">
        <f t="shared" si="0"/>
        <v>0.63500000000000001</v>
      </c>
      <c r="U13" s="2">
        <f t="shared" si="1"/>
        <v>1.0660000000000001</v>
      </c>
      <c r="V13" s="13">
        <f t="shared" si="2"/>
        <v>18.972000000000001</v>
      </c>
      <c r="W13" s="14">
        <f t="shared" si="3"/>
        <v>2.8740000000000001</v>
      </c>
      <c r="X13" s="3">
        <f t="shared" si="4"/>
        <v>26.52</v>
      </c>
      <c r="Y13" s="15">
        <f t="shared" si="5"/>
        <v>18.187999999999999</v>
      </c>
      <c r="Z13" s="15">
        <f t="shared" si="6"/>
        <v>5.55</v>
      </c>
      <c r="AA13" s="16">
        <f t="shared" si="7"/>
        <v>17.228000000000002</v>
      </c>
    </row>
    <row r="14" spans="1:27" s="6" customFormat="1" ht="14.25" customHeight="1" x14ac:dyDescent="0.2">
      <c r="A14" s="19" t="s">
        <v>19</v>
      </c>
      <c r="B14" s="8">
        <f t="shared" si="9"/>
        <v>3.3443475600428334</v>
      </c>
      <c r="C14" s="8">
        <f t="shared" si="10"/>
        <v>1.0026604412341786</v>
      </c>
      <c r="D14" s="9">
        <f t="shared" si="8"/>
        <v>150.351</v>
      </c>
      <c r="E14" s="8">
        <v>293.14100000000002</v>
      </c>
      <c r="F14" s="20">
        <v>30.844000000000001</v>
      </c>
      <c r="G14" s="10">
        <v>118.086</v>
      </c>
      <c r="H14" s="10">
        <v>1.421</v>
      </c>
      <c r="I14" s="11">
        <v>93.677999999999997</v>
      </c>
      <c r="J14" s="19" t="s">
        <v>19</v>
      </c>
      <c r="K14" s="8">
        <f t="shared" si="11"/>
        <v>5.3385383335466523</v>
      </c>
      <c r="L14" s="8">
        <f t="shared" si="12"/>
        <v>1.0170229105337258</v>
      </c>
      <c r="M14" s="9">
        <f t="shared" si="13"/>
        <v>7.8129999999999997</v>
      </c>
      <c r="N14" s="8">
        <v>100.027</v>
      </c>
      <c r="O14" s="20">
        <v>1.129</v>
      </c>
      <c r="P14" s="10">
        <v>6.41</v>
      </c>
      <c r="Q14" s="10">
        <v>0.27400000000000002</v>
      </c>
      <c r="R14" s="11">
        <v>5.3470000000000004</v>
      </c>
      <c r="S14" s="19" t="s">
        <v>19</v>
      </c>
      <c r="T14" s="8">
        <f t="shared" si="0"/>
        <v>0.626</v>
      </c>
      <c r="U14" s="8">
        <f t="shared" si="1"/>
        <v>0.98599999999999999</v>
      </c>
      <c r="V14" s="9">
        <f t="shared" si="2"/>
        <v>19.244</v>
      </c>
      <c r="W14" s="8">
        <f t="shared" si="3"/>
        <v>2.931</v>
      </c>
      <c r="X14" s="20">
        <f t="shared" si="4"/>
        <v>27.32</v>
      </c>
      <c r="Y14" s="10">
        <f t="shared" si="5"/>
        <v>18.422000000000001</v>
      </c>
      <c r="Z14" s="10">
        <f t="shared" si="6"/>
        <v>5.1859999999999999</v>
      </c>
      <c r="AA14" s="11">
        <f t="shared" si="7"/>
        <v>17.52</v>
      </c>
    </row>
    <row r="15" spans="1:27" s="6" customFormat="1" ht="14.25" customHeight="1" x14ac:dyDescent="0.2">
      <c r="A15" s="21" t="s">
        <v>21</v>
      </c>
      <c r="B15" s="2">
        <f t="shared" si="9"/>
        <v>4.2787147500808382</v>
      </c>
      <c r="C15" s="2">
        <f t="shared" si="10"/>
        <v>1.2793869875253152</v>
      </c>
      <c r="D15" s="13">
        <f t="shared" ref="D15:D20" si="14">SUM(F15:H15)</f>
        <v>117.51800000000001</v>
      </c>
      <c r="E15" s="14">
        <v>298.74400000000003</v>
      </c>
      <c r="F15" s="15">
        <v>30.983000000000001</v>
      </c>
      <c r="G15" s="3">
        <v>85.102000000000004</v>
      </c>
      <c r="H15" s="15">
        <v>1.4330000000000001</v>
      </c>
      <c r="I15" s="4">
        <v>64.790999999999997</v>
      </c>
      <c r="J15" s="21" t="s">
        <v>21</v>
      </c>
      <c r="K15" s="2">
        <f t="shared" si="11"/>
        <v>5.7475540857103482</v>
      </c>
      <c r="L15" s="2">
        <f t="shared" si="12"/>
        <v>1.0766156814110515</v>
      </c>
      <c r="M15" s="13">
        <f t="shared" si="13"/>
        <v>7.2569999999999997</v>
      </c>
      <c r="N15" s="14">
        <v>99.741</v>
      </c>
      <c r="O15" s="15">
        <v>1.1539999999999999</v>
      </c>
      <c r="P15" s="3">
        <v>5.8209999999999997</v>
      </c>
      <c r="Q15" s="15">
        <v>0.28199999999999997</v>
      </c>
      <c r="R15" s="4">
        <v>5.0629999999999997</v>
      </c>
      <c r="S15" s="21" t="s">
        <v>21</v>
      </c>
      <c r="T15" s="2">
        <f t="shared" si="0"/>
        <v>0.74399999999999999</v>
      </c>
      <c r="U15" s="2">
        <f t="shared" si="1"/>
        <v>1.1879999999999999</v>
      </c>
      <c r="V15" s="13">
        <f t="shared" si="2"/>
        <v>16.193999999999999</v>
      </c>
      <c r="W15" s="14">
        <f t="shared" si="3"/>
        <v>2.9950000000000001</v>
      </c>
      <c r="X15" s="15">
        <f t="shared" si="4"/>
        <v>26.847999999999999</v>
      </c>
      <c r="Y15" s="3">
        <f t="shared" si="5"/>
        <v>14.62</v>
      </c>
      <c r="Z15" s="15">
        <f t="shared" si="6"/>
        <v>5.0819999999999999</v>
      </c>
      <c r="AA15" s="4">
        <f t="shared" si="7"/>
        <v>12.797000000000001</v>
      </c>
    </row>
    <row r="16" spans="1:27" s="6" customFormat="1" ht="14.25" customHeight="1" x14ac:dyDescent="0.2">
      <c r="A16" s="21" t="s">
        <v>28</v>
      </c>
      <c r="B16" s="14">
        <f t="shared" si="9"/>
        <v>4.3258314836800364</v>
      </c>
      <c r="C16" s="14">
        <f t="shared" si="10"/>
        <v>1.0110118893993361</v>
      </c>
      <c r="D16" s="17">
        <f t="shared" si="14"/>
        <v>116.23799999999999</v>
      </c>
      <c r="E16" s="3">
        <v>293.041</v>
      </c>
      <c r="F16" s="15">
        <v>30.812000000000001</v>
      </c>
      <c r="G16" s="15">
        <v>83.82</v>
      </c>
      <c r="H16" s="15">
        <v>1.6060000000000001</v>
      </c>
      <c r="I16" s="16">
        <v>63.863999999999997</v>
      </c>
      <c r="J16" s="21" t="s">
        <v>28</v>
      </c>
      <c r="K16" s="14">
        <f t="shared" si="11"/>
        <v>5.78582327645998</v>
      </c>
      <c r="L16" s="14">
        <f t="shared" si="12"/>
        <v>1.0066583437369954</v>
      </c>
      <c r="M16" s="17">
        <f t="shared" si="13"/>
        <v>7.2089999999999996</v>
      </c>
      <c r="N16" s="3">
        <v>13.942</v>
      </c>
      <c r="O16" s="15">
        <v>1.1299999999999999</v>
      </c>
      <c r="P16" s="15">
        <v>5.8</v>
      </c>
      <c r="Q16" s="15">
        <v>0.27900000000000003</v>
      </c>
      <c r="R16" s="16">
        <v>5.0220000000000002</v>
      </c>
      <c r="S16" s="21" t="s">
        <v>28</v>
      </c>
      <c r="T16" s="14">
        <f t="shared" si="0"/>
        <v>0.748</v>
      </c>
      <c r="U16" s="14">
        <f t="shared" si="1"/>
        <v>1.004</v>
      </c>
      <c r="V16" s="17">
        <f t="shared" si="2"/>
        <v>16.123999999999999</v>
      </c>
      <c r="W16" s="3">
        <f t="shared" si="3"/>
        <v>21.018999999999998</v>
      </c>
      <c r="X16" s="15">
        <f t="shared" si="4"/>
        <v>27.266999999999999</v>
      </c>
      <c r="Y16" s="15">
        <f t="shared" si="5"/>
        <v>14.452</v>
      </c>
      <c r="Z16" s="15">
        <f t="shared" si="6"/>
        <v>5.7560000000000002</v>
      </c>
      <c r="AA16" s="16">
        <f t="shared" si="7"/>
        <v>12.717000000000001</v>
      </c>
    </row>
    <row r="17" spans="1:27" s="6" customFormat="1" ht="14.25" customHeight="1" x14ac:dyDescent="0.2">
      <c r="A17" s="21" t="s">
        <v>22</v>
      </c>
      <c r="B17" s="14">
        <f t="shared" si="9"/>
        <v>4.3423809318191635</v>
      </c>
      <c r="C17" s="14">
        <f t="shared" si="10"/>
        <v>1.003825726499417</v>
      </c>
      <c r="D17" s="17">
        <f t="shared" si="14"/>
        <v>115.795</v>
      </c>
      <c r="E17" s="22">
        <v>293.161</v>
      </c>
      <c r="F17" s="22">
        <v>30.565999999999999</v>
      </c>
      <c r="G17" s="23">
        <v>83.768000000000001</v>
      </c>
      <c r="H17" s="22">
        <v>1.4610000000000001</v>
      </c>
      <c r="I17" s="23">
        <v>64.06</v>
      </c>
      <c r="J17" s="21" t="s">
        <v>22</v>
      </c>
      <c r="K17" s="14">
        <f t="shared" si="11"/>
        <v>6.2873078082604756</v>
      </c>
      <c r="L17" s="14">
        <f t="shared" si="12"/>
        <v>1.0866747060596926</v>
      </c>
      <c r="M17" s="17">
        <f t="shared" si="13"/>
        <v>6.6339999999999995</v>
      </c>
      <c r="N17" s="22">
        <v>13.86</v>
      </c>
      <c r="O17" s="22">
        <v>1.151</v>
      </c>
      <c r="P17" s="23">
        <v>5.2089999999999996</v>
      </c>
      <c r="Q17" s="22">
        <v>0.27400000000000002</v>
      </c>
      <c r="R17" s="23">
        <v>4.258</v>
      </c>
      <c r="S17" s="21" t="s">
        <v>22</v>
      </c>
      <c r="T17" s="14">
        <f t="shared" si="0"/>
        <v>0.69099999999999995</v>
      </c>
      <c r="U17" s="14">
        <f t="shared" si="1"/>
        <v>0.92400000000000004</v>
      </c>
      <c r="V17" s="17">
        <f t="shared" si="2"/>
        <v>17.454999999999998</v>
      </c>
      <c r="W17" s="22">
        <f t="shared" si="3"/>
        <v>21.152000000000001</v>
      </c>
      <c r="X17" s="22">
        <f t="shared" si="4"/>
        <v>26.556000000000001</v>
      </c>
      <c r="Y17" s="23">
        <f t="shared" si="5"/>
        <v>16.081</v>
      </c>
      <c r="Z17" s="22">
        <f t="shared" si="6"/>
        <v>5.3319999999999999</v>
      </c>
      <c r="AA17" s="23">
        <f t="shared" si="7"/>
        <v>15.045</v>
      </c>
    </row>
    <row r="18" spans="1:27" s="6" customFormat="1" ht="14.25" customHeight="1" x14ac:dyDescent="0.2">
      <c r="A18" s="21" t="s">
        <v>23</v>
      </c>
      <c r="B18" s="14">
        <f t="shared" si="9"/>
        <v>4.3105159835749376</v>
      </c>
      <c r="C18" s="14">
        <f t="shared" si="10"/>
        <v>0.99266187173706188</v>
      </c>
      <c r="D18" s="17">
        <f t="shared" si="14"/>
        <v>116.651</v>
      </c>
      <c r="E18" s="22">
        <v>296.22000000000003</v>
      </c>
      <c r="F18" s="22">
        <v>31.010999999999999</v>
      </c>
      <c r="G18" s="23">
        <v>84.191000000000003</v>
      </c>
      <c r="H18" s="22">
        <v>1.4490000000000001</v>
      </c>
      <c r="I18" s="24">
        <v>64.331999999999994</v>
      </c>
      <c r="J18" s="21" t="s">
        <v>23</v>
      </c>
      <c r="K18" s="14">
        <f t="shared" si="11"/>
        <v>6.7480990131046754</v>
      </c>
      <c r="L18" s="14">
        <f t="shared" si="12"/>
        <v>1.0732891117942081</v>
      </c>
      <c r="M18" s="17">
        <f t="shared" si="13"/>
        <v>6.1809999999999992</v>
      </c>
      <c r="N18" s="22">
        <v>14.180999999999999</v>
      </c>
      <c r="O18" s="22">
        <v>1.1419999999999999</v>
      </c>
      <c r="P18" s="23">
        <v>4.7629999999999999</v>
      </c>
      <c r="Q18" s="22">
        <v>0.27600000000000002</v>
      </c>
      <c r="R18" s="24">
        <v>3.95</v>
      </c>
      <c r="S18" s="21" t="s">
        <v>23</v>
      </c>
      <c r="T18" s="14">
        <f t="shared" si="0"/>
        <v>0.63900000000000001</v>
      </c>
      <c r="U18" s="14">
        <f t="shared" si="1"/>
        <v>0.92500000000000004</v>
      </c>
      <c r="V18" s="17">
        <f t="shared" si="2"/>
        <v>18.873000000000001</v>
      </c>
      <c r="W18" s="22">
        <f t="shared" si="3"/>
        <v>20.888999999999999</v>
      </c>
      <c r="X18" s="22">
        <f t="shared" si="4"/>
        <v>27.155000000000001</v>
      </c>
      <c r="Y18" s="23">
        <f t="shared" si="5"/>
        <v>17.675999999999998</v>
      </c>
      <c r="Z18" s="22">
        <f t="shared" si="6"/>
        <v>5.25</v>
      </c>
      <c r="AA18" s="24">
        <f t="shared" si="7"/>
        <v>16.286999999999999</v>
      </c>
    </row>
    <row r="19" spans="1:27" s="6" customFormat="1" ht="14.25" customHeight="1" x14ac:dyDescent="0.2">
      <c r="A19" s="19" t="s">
        <v>24</v>
      </c>
      <c r="B19" s="8">
        <f t="shared" si="9"/>
        <v>4.4446742685406173</v>
      </c>
      <c r="C19" s="8">
        <f t="shared" si="10"/>
        <v>1.0311234862547511</v>
      </c>
      <c r="D19" s="9">
        <f t="shared" si="14"/>
        <v>113.13</v>
      </c>
      <c r="E19" s="25">
        <v>294.642</v>
      </c>
      <c r="F19" s="25">
        <v>30.591999999999999</v>
      </c>
      <c r="G19" s="26">
        <v>81.010999999999996</v>
      </c>
      <c r="H19" s="25">
        <v>1.5269999999999999</v>
      </c>
      <c r="I19" s="27">
        <v>63.789000000000001</v>
      </c>
      <c r="J19" s="19" t="s">
        <v>24</v>
      </c>
      <c r="K19" s="8">
        <f t="shared" si="11"/>
        <v>7.6140927345746627</v>
      </c>
      <c r="L19" s="8">
        <f t="shared" si="12"/>
        <v>1.1283315078495801</v>
      </c>
      <c r="M19" s="9">
        <f t="shared" si="13"/>
        <v>5.4779999999999989</v>
      </c>
      <c r="N19" s="25">
        <v>14.016999999999999</v>
      </c>
      <c r="O19" s="25">
        <v>1.1819999999999999</v>
      </c>
      <c r="P19" s="26">
        <v>4.0019999999999998</v>
      </c>
      <c r="Q19" s="25">
        <v>0.29399999999999998</v>
      </c>
      <c r="R19" s="27">
        <v>3.5790000000000002</v>
      </c>
      <c r="S19" s="19" t="s">
        <v>24</v>
      </c>
      <c r="T19" s="8">
        <f t="shared" si="0"/>
        <v>0.58399999999999996</v>
      </c>
      <c r="U19" s="8">
        <f t="shared" si="1"/>
        <v>0.91400000000000003</v>
      </c>
      <c r="V19" s="9">
        <f t="shared" si="2"/>
        <v>20.652000000000001</v>
      </c>
      <c r="W19" s="25">
        <f t="shared" si="3"/>
        <v>21.02</v>
      </c>
      <c r="X19" s="25">
        <f t="shared" si="4"/>
        <v>25.882000000000001</v>
      </c>
      <c r="Y19" s="26">
        <f t="shared" si="5"/>
        <v>20.242999999999999</v>
      </c>
      <c r="Z19" s="25">
        <f t="shared" si="6"/>
        <v>5.194</v>
      </c>
      <c r="AA19" s="27">
        <f t="shared" si="7"/>
        <v>17.823</v>
      </c>
    </row>
    <row r="20" spans="1:27" s="6" customFormat="1" ht="14.25" customHeight="1" x14ac:dyDescent="0.2">
      <c r="A20" s="21" t="s">
        <v>27</v>
      </c>
      <c r="B20" s="2">
        <f t="shared" si="9"/>
        <v>5.1158952862535232</v>
      </c>
      <c r="C20" s="2">
        <f t="shared" si="10"/>
        <v>1.1510169198368043</v>
      </c>
      <c r="D20" s="13">
        <f t="shared" si="14"/>
        <v>98.287000000000006</v>
      </c>
      <c r="E20" s="22">
        <v>293.48399999999998</v>
      </c>
      <c r="F20" s="6">
        <v>30.465</v>
      </c>
      <c r="G20" s="23">
        <v>66.397000000000006</v>
      </c>
      <c r="H20" s="6">
        <v>1.425</v>
      </c>
      <c r="I20" s="24">
        <v>47.881999999999998</v>
      </c>
      <c r="J20" s="21" t="s">
        <v>27</v>
      </c>
      <c r="K20" s="2">
        <f t="shared" si="11"/>
        <v>9.0320485058466851</v>
      </c>
      <c r="L20" s="2">
        <f t="shared" si="12"/>
        <v>1.1862278042442613</v>
      </c>
      <c r="M20" s="13">
        <f t="shared" si="13"/>
        <v>4.6180000000000003</v>
      </c>
      <c r="N20" s="22">
        <v>13.797000000000001</v>
      </c>
      <c r="O20" s="6">
        <v>1.169</v>
      </c>
      <c r="P20" s="23">
        <v>3.161</v>
      </c>
      <c r="Q20" s="6">
        <v>0.28799999999999998</v>
      </c>
      <c r="R20" s="24">
        <v>3.0270000000000001</v>
      </c>
      <c r="S20" s="21" t="s">
        <v>27</v>
      </c>
      <c r="T20" s="2">
        <f t="shared" si="0"/>
        <v>0.56599999999999995</v>
      </c>
      <c r="U20" s="2">
        <f t="shared" si="1"/>
        <v>0.97</v>
      </c>
      <c r="V20" s="13">
        <f t="shared" si="2"/>
        <v>21.283000000000001</v>
      </c>
      <c r="W20" s="22">
        <f t="shared" si="3"/>
        <v>21.271999999999998</v>
      </c>
      <c r="X20" s="6">
        <f t="shared" si="4"/>
        <v>26.061</v>
      </c>
      <c r="Y20" s="23">
        <f t="shared" si="5"/>
        <v>21.004999999999999</v>
      </c>
      <c r="Z20" s="6">
        <f t="shared" si="6"/>
        <v>4.9480000000000004</v>
      </c>
      <c r="AA20" s="24">
        <f t="shared" si="7"/>
        <v>15.818</v>
      </c>
    </row>
    <row r="21" spans="1:27" s="6" customFormat="1" ht="14.25" customHeight="1" x14ac:dyDescent="0.2">
      <c r="A21" s="21" t="s">
        <v>25</v>
      </c>
      <c r="B21" s="2">
        <f t="shared" si="9"/>
        <v>5.628607249199634</v>
      </c>
      <c r="C21" s="2">
        <f t="shared" si="10"/>
        <v>1.1002194013477513</v>
      </c>
      <c r="D21" s="13">
        <f t="shared" ref="D21" si="15">SUM(F21:H21)</f>
        <v>89.333999999999989</v>
      </c>
      <c r="E21" s="22">
        <v>294.85399999999998</v>
      </c>
      <c r="F21" s="22">
        <v>30.524999999999999</v>
      </c>
      <c r="G21" s="23">
        <v>57.402000000000001</v>
      </c>
      <c r="H21" s="22">
        <v>1.407</v>
      </c>
      <c r="I21" s="24">
        <v>44.601999999999997</v>
      </c>
      <c r="J21" s="21" t="s">
        <v>25</v>
      </c>
      <c r="K21" s="2">
        <f t="shared" si="11"/>
        <v>11.019815059445177</v>
      </c>
      <c r="L21" s="2">
        <f t="shared" si="12"/>
        <v>1.2200792602377808</v>
      </c>
      <c r="M21" s="13">
        <f t="shared" si="13"/>
        <v>3.7850000000000001</v>
      </c>
      <c r="N21" s="22">
        <v>14.298999999999999</v>
      </c>
      <c r="O21" s="22">
        <v>1.149</v>
      </c>
      <c r="P21" s="23">
        <v>2.3570000000000002</v>
      </c>
      <c r="Q21" s="22">
        <v>0.27900000000000003</v>
      </c>
      <c r="R21" s="24">
        <v>1.893</v>
      </c>
      <c r="S21" s="21" t="s">
        <v>25</v>
      </c>
      <c r="T21" s="2">
        <f t="shared" ref="T21" si="16">ROUND(B21/K21,3)</f>
        <v>0.51100000000000001</v>
      </c>
      <c r="U21" s="2">
        <f t="shared" ref="U21" si="17">ROUND(C21/L21,3)</f>
        <v>0.90200000000000002</v>
      </c>
      <c r="V21" s="13">
        <f t="shared" ref="V21" si="18">ROUND(D21/M21,3)</f>
        <v>23.602</v>
      </c>
      <c r="W21" s="22">
        <f t="shared" ref="W21" si="19">ROUND(E21/N21,3)</f>
        <v>20.620999999999999</v>
      </c>
      <c r="X21" s="22">
        <f t="shared" ref="X21" si="20">ROUND(F21/O21,3)</f>
        <v>26.567</v>
      </c>
      <c r="Y21" s="23">
        <f t="shared" ref="Y21" si="21">ROUND(G21/P21,3)</f>
        <v>24.353999999999999</v>
      </c>
      <c r="Z21" s="22">
        <f t="shared" ref="Z21" si="22">ROUND(H21/Q21,3)</f>
        <v>5.0430000000000001</v>
      </c>
      <c r="AA21" s="24">
        <f t="shared" ref="AA21" si="23">ROUND(I21/R21,3)</f>
        <v>23.562000000000001</v>
      </c>
    </row>
    <row r="22" spans="1:27" s="6" customFormat="1" ht="14.25" customHeight="1" x14ac:dyDescent="0.2">
      <c r="A22" s="21" t="s">
        <v>30</v>
      </c>
      <c r="B22" s="2">
        <f t="shared" ref="B22" si="24">D$2/D22</f>
        <v>7.1115039742030381</v>
      </c>
      <c r="C22" s="2">
        <f t="shared" ref="C22" si="25">D21/D22</f>
        <v>1.2634571323508612</v>
      </c>
      <c r="D22" s="13">
        <f t="shared" ref="D22" si="26">SUM(F22:H22)</f>
        <v>70.706000000000003</v>
      </c>
      <c r="E22" s="6">
        <v>294.76499999999999</v>
      </c>
      <c r="F22" s="6">
        <v>30.512</v>
      </c>
      <c r="G22" s="23">
        <v>38.655999999999999</v>
      </c>
      <c r="H22" s="6">
        <v>1.538</v>
      </c>
      <c r="I22" s="24">
        <v>27.414999999999999</v>
      </c>
      <c r="J22" s="21" t="s">
        <v>30</v>
      </c>
      <c r="K22" s="2">
        <f t="shared" ref="K22:K24" si="27">M$2/M22</f>
        <v>12.933333333333332</v>
      </c>
      <c r="L22" s="2">
        <f t="shared" ref="L22:L24" si="28">M21/M22</f>
        <v>1.1736434108527132</v>
      </c>
      <c r="M22" s="13">
        <f t="shared" ref="M22:M24" si="29">SUM(O22:Q22)</f>
        <v>3.2250000000000001</v>
      </c>
      <c r="N22" s="6">
        <v>13.94</v>
      </c>
      <c r="O22" s="6">
        <v>1.2010000000000001</v>
      </c>
      <c r="P22" s="23">
        <v>1.7549999999999999</v>
      </c>
      <c r="Q22" s="6">
        <v>0.26900000000000002</v>
      </c>
      <c r="R22" s="24">
        <v>1.337</v>
      </c>
      <c r="S22" s="21" t="s">
        <v>30</v>
      </c>
      <c r="T22" s="2">
        <f t="shared" ref="T22" si="30">ROUND(B22/K22,3)</f>
        <v>0.55000000000000004</v>
      </c>
      <c r="U22" s="2">
        <f t="shared" ref="U22" si="31">ROUND(C22/L22,3)</f>
        <v>1.077</v>
      </c>
      <c r="V22" s="13">
        <f t="shared" ref="V22" si="32">ROUND(D22/M22,3)</f>
        <v>21.923999999999999</v>
      </c>
      <c r="W22" s="6">
        <f t="shared" ref="W22" si="33">ROUND(E22/N22,3)</f>
        <v>21.145</v>
      </c>
      <c r="X22" s="6">
        <f t="shared" ref="X22" si="34">ROUND(F22/O22,3)</f>
        <v>25.405000000000001</v>
      </c>
      <c r="Y22" s="23">
        <f t="shared" ref="Y22" si="35">ROUND(G22/P22,3)</f>
        <v>22.026</v>
      </c>
      <c r="Z22" s="6">
        <f t="shared" ref="Z22" si="36">ROUND(H22/Q22,3)</f>
        <v>5.7169999999999996</v>
      </c>
      <c r="AA22" s="24">
        <f t="shared" ref="AA22" si="37">ROUND(I22/R22,3)</f>
        <v>20.504999999999999</v>
      </c>
    </row>
    <row r="23" spans="1:27" s="6" customFormat="1" ht="14.25" customHeight="1" x14ac:dyDescent="0.2">
      <c r="A23" s="21" t="s">
        <v>31</v>
      </c>
      <c r="B23" s="14">
        <f t="shared" ref="B23" si="38">D$2/D23</f>
        <v>6.9393596467016279</v>
      </c>
      <c r="C23" s="14">
        <f t="shared" ref="C23" si="39">D22/D23</f>
        <v>0.97579354126414564</v>
      </c>
      <c r="D23" s="13">
        <f t="shared" ref="D23" si="40">SUM(F23:H23)</f>
        <v>72.460000000000008</v>
      </c>
      <c r="E23" s="23">
        <v>245.07</v>
      </c>
      <c r="F23" s="6">
        <v>31.885999999999999</v>
      </c>
      <c r="G23" s="6">
        <v>39.07</v>
      </c>
      <c r="H23" s="6">
        <v>1.504</v>
      </c>
      <c r="I23" s="28">
        <v>27.803000000000001</v>
      </c>
      <c r="J23" s="21" t="s">
        <v>31</v>
      </c>
      <c r="K23" s="14">
        <f t="shared" si="27"/>
        <v>13.262321144674084</v>
      </c>
      <c r="L23" s="14">
        <f t="shared" si="28"/>
        <v>1.0254372019077902</v>
      </c>
      <c r="M23" s="13">
        <f t="shared" si="29"/>
        <v>3.145</v>
      </c>
      <c r="N23" s="23">
        <v>11.422000000000001</v>
      </c>
      <c r="O23" s="6">
        <v>1.137</v>
      </c>
      <c r="P23" s="6">
        <v>1.726</v>
      </c>
      <c r="Q23" s="6">
        <v>0.28199999999999997</v>
      </c>
      <c r="R23" s="28">
        <v>1.3129999999999999</v>
      </c>
      <c r="S23" s="21" t="s">
        <v>31</v>
      </c>
      <c r="T23" s="14">
        <f t="shared" ref="T23" si="41">ROUND(B23/K23,3)</f>
        <v>0.52300000000000002</v>
      </c>
      <c r="U23" s="14">
        <f t="shared" ref="U23" si="42">ROUND(C23/L23,3)</f>
        <v>0.95199999999999996</v>
      </c>
      <c r="V23" s="13">
        <f t="shared" ref="V23" si="43">ROUND(D23/M23,3)</f>
        <v>23.04</v>
      </c>
      <c r="W23" s="23">
        <f t="shared" ref="W23" si="44">ROUND(E23/N23,3)</f>
        <v>21.456</v>
      </c>
      <c r="X23" s="6">
        <f t="shared" ref="X23" si="45">ROUND(F23/O23,3)</f>
        <v>28.044</v>
      </c>
      <c r="Y23" s="6">
        <f t="shared" ref="Y23" si="46">ROUND(G23/P23,3)</f>
        <v>22.635999999999999</v>
      </c>
      <c r="Z23" s="6">
        <f t="shared" ref="Z23" si="47">ROUND(H23/Q23,3)</f>
        <v>5.3330000000000002</v>
      </c>
      <c r="AA23" s="28">
        <f t="shared" ref="AA23" si="48">ROUND(I23/R23,3)</f>
        <v>21.175000000000001</v>
      </c>
    </row>
    <row r="24" spans="1:27" s="6" customFormat="1" ht="14.25" customHeight="1" x14ac:dyDescent="0.2">
      <c r="A24" s="21" t="s">
        <v>32</v>
      </c>
      <c r="B24" s="2">
        <f t="shared" ref="B24" si="49">D$2/D24</f>
        <v>7.9798451088681528</v>
      </c>
      <c r="C24" s="2">
        <f t="shared" ref="C24" si="50">D23/D24</f>
        <v>1.1499396940265347</v>
      </c>
      <c r="D24" s="13">
        <f t="shared" ref="D24" si="51">SUM(F24:H24)</f>
        <v>63.012</v>
      </c>
      <c r="E24" s="6">
        <v>263.20100000000002</v>
      </c>
      <c r="F24" s="6">
        <v>32.31</v>
      </c>
      <c r="G24" s="23">
        <v>29.289000000000001</v>
      </c>
      <c r="H24" s="6">
        <v>1.413</v>
      </c>
      <c r="I24" s="24">
        <v>21</v>
      </c>
      <c r="J24" s="21" t="s">
        <v>32</v>
      </c>
      <c r="K24" s="2">
        <f t="shared" si="27"/>
        <v>15.019805545552751</v>
      </c>
      <c r="L24" s="2">
        <f t="shared" si="28"/>
        <v>1.132517104789341</v>
      </c>
      <c r="M24" s="13">
        <f t="shared" si="29"/>
        <v>2.7770000000000001</v>
      </c>
      <c r="N24" s="6">
        <v>11.458</v>
      </c>
      <c r="O24" s="6">
        <v>1.125</v>
      </c>
      <c r="P24" s="23">
        <v>1.3759999999999999</v>
      </c>
      <c r="Q24" s="6">
        <v>0.27600000000000002</v>
      </c>
      <c r="R24" s="24">
        <v>1.0129999999999999</v>
      </c>
      <c r="S24" s="21" t="s">
        <v>32</v>
      </c>
      <c r="T24" s="2">
        <f t="shared" ref="T24" si="52">ROUND(B24/K24,3)</f>
        <v>0.53100000000000003</v>
      </c>
      <c r="U24" s="2">
        <f t="shared" ref="U24" si="53">ROUND(C24/L24,3)</f>
        <v>1.0149999999999999</v>
      </c>
      <c r="V24" s="13">
        <f t="shared" ref="V24" si="54">ROUND(D24/M24,3)</f>
        <v>22.690999999999999</v>
      </c>
      <c r="W24" s="6">
        <f t="shared" ref="W24" si="55">ROUND(E24/N24,3)</f>
        <v>22.971</v>
      </c>
      <c r="X24" s="6">
        <f t="shared" ref="X24" si="56">ROUND(F24/O24,3)</f>
        <v>28.72</v>
      </c>
      <c r="Y24" s="23">
        <f t="shared" ref="Y24" si="57">ROUND(G24/P24,3)</f>
        <v>21.286000000000001</v>
      </c>
      <c r="Z24" s="6">
        <f t="shared" ref="Z24" si="58">ROUND(H24/Q24,3)</f>
        <v>5.12</v>
      </c>
      <c r="AA24" s="24">
        <f t="shared" ref="AA24" si="59">ROUND(I24/R24,3)</f>
        <v>20.731000000000002</v>
      </c>
    </row>
    <row r="25" spans="1:27" s="6" customFormat="1" ht="14.25" customHeight="1" x14ac:dyDescent="0.2">
      <c r="A25" s="21" t="s">
        <v>33</v>
      </c>
      <c r="B25" s="2">
        <f t="shared" ref="B25" si="60">D$2/D25</f>
        <v>8.3638450406693412</v>
      </c>
      <c r="C25" s="2">
        <f t="shared" ref="C25" si="61">D24/D25</f>
        <v>1.0481212262346349</v>
      </c>
      <c r="D25" s="13">
        <f t="shared" ref="D25" si="62">SUM(F25:H25)</f>
        <v>60.118999999999993</v>
      </c>
      <c r="E25" s="6">
        <v>244.43600000000001</v>
      </c>
      <c r="F25" s="6">
        <v>31.77</v>
      </c>
      <c r="G25" s="23">
        <v>26.741</v>
      </c>
      <c r="H25" s="6">
        <v>1.6080000000000001</v>
      </c>
      <c r="I25" s="24">
        <v>18.143000000000001</v>
      </c>
      <c r="J25" s="21" t="s">
        <v>33</v>
      </c>
      <c r="K25" s="2">
        <f t="shared" ref="K25:K27" si="63">M$2/M25</f>
        <v>15.907704042715483</v>
      </c>
      <c r="L25" s="2">
        <f t="shared" ref="L25:L27" si="64">M24/M25</f>
        <v>1.0591151792524791</v>
      </c>
      <c r="M25" s="13">
        <f t="shared" ref="M25:M27" si="65">SUM(O25:Q25)</f>
        <v>2.6219999999999999</v>
      </c>
      <c r="N25" s="6">
        <v>11.443</v>
      </c>
      <c r="O25" s="6">
        <v>1.111</v>
      </c>
      <c r="P25" s="23">
        <v>1.2310000000000001</v>
      </c>
      <c r="Q25" s="6">
        <v>0.28000000000000003</v>
      </c>
      <c r="R25" s="24">
        <v>0.89500000000000002</v>
      </c>
      <c r="S25" s="21" t="s">
        <v>33</v>
      </c>
      <c r="T25" s="2">
        <f t="shared" ref="T25" si="66">ROUND(B25/K25,3)</f>
        <v>0.52600000000000002</v>
      </c>
      <c r="U25" s="2">
        <f t="shared" ref="U25" si="67">ROUND(C25/L25,3)</f>
        <v>0.99</v>
      </c>
      <c r="V25" s="13">
        <f t="shared" ref="V25" si="68">ROUND(D25/M25,3)</f>
        <v>22.928999999999998</v>
      </c>
      <c r="W25" s="6">
        <f t="shared" ref="W25" si="69">ROUND(E25/N25,3)</f>
        <v>21.361000000000001</v>
      </c>
      <c r="X25" s="6">
        <f t="shared" ref="X25" si="70">ROUND(F25/O25,3)</f>
        <v>28.596</v>
      </c>
      <c r="Y25" s="23">
        <f t="shared" ref="Y25" si="71">ROUND(G25/P25,3)</f>
        <v>21.722999999999999</v>
      </c>
      <c r="Z25" s="6">
        <f t="shared" ref="Z25" si="72">ROUND(H25/Q25,3)</f>
        <v>5.7430000000000003</v>
      </c>
      <c r="AA25" s="24">
        <f t="shared" ref="AA25" si="73">ROUND(I25/R25,3)</f>
        <v>20.271999999999998</v>
      </c>
    </row>
    <row r="26" spans="1:27" s="6" customFormat="1" ht="14.25" customHeight="1" x14ac:dyDescent="0.2">
      <c r="A26" s="21" t="s">
        <v>34</v>
      </c>
      <c r="B26" s="2">
        <f t="shared" ref="B26" si="74">D$2/D26</f>
        <v>9.3122823912882442</v>
      </c>
      <c r="C26" s="2">
        <f t="shared" ref="C26" si="75">D25/D26</f>
        <v>1.113397288688051</v>
      </c>
      <c r="D26" s="13">
        <f t="shared" ref="D26" si="76">SUM(F26:H26)</f>
        <v>53.995999999999995</v>
      </c>
      <c r="E26" s="6">
        <v>243.13800000000001</v>
      </c>
      <c r="F26" s="6">
        <v>31.661000000000001</v>
      </c>
      <c r="G26" s="23">
        <v>20.870999999999999</v>
      </c>
      <c r="H26" s="6">
        <v>1.464</v>
      </c>
      <c r="I26" s="24">
        <v>16.887</v>
      </c>
      <c r="J26" s="21" t="s">
        <v>34</v>
      </c>
      <c r="K26" s="2">
        <f t="shared" si="63"/>
        <v>17.400917813934079</v>
      </c>
      <c r="L26" s="2">
        <f t="shared" si="64"/>
        <v>1.0938673341677094</v>
      </c>
      <c r="M26" s="13">
        <f t="shared" si="65"/>
        <v>2.3970000000000002</v>
      </c>
      <c r="N26" s="6">
        <v>11.484999999999999</v>
      </c>
      <c r="O26" s="6">
        <v>1.0900000000000001</v>
      </c>
      <c r="P26" s="23">
        <v>1.0349999999999999</v>
      </c>
      <c r="Q26" s="6">
        <v>0.27200000000000002</v>
      </c>
      <c r="R26" s="24">
        <v>0.86899999999999999</v>
      </c>
      <c r="S26" s="21" t="s">
        <v>34</v>
      </c>
      <c r="T26" s="2">
        <f t="shared" ref="T26" si="77">ROUND(B26/K26,3)</f>
        <v>0.53500000000000003</v>
      </c>
      <c r="U26" s="2">
        <f t="shared" ref="U26" si="78">ROUND(C26/L26,3)</f>
        <v>1.018</v>
      </c>
      <c r="V26" s="13">
        <f t="shared" ref="V26" si="79">ROUND(D26/M26,3)</f>
        <v>22.526</v>
      </c>
      <c r="W26" s="6">
        <f t="shared" ref="W26" si="80">ROUND(E26/N26,3)</f>
        <v>21.17</v>
      </c>
      <c r="X26" s="6">
        <f t="shared" ref="X26" si="81">ROUND(F26/O26,3)</f>
        <v>29.047000000000001</v>
      </c>
      <c r="Y26" s="23">
        <f t="shared" ref="Y26" si="82">ROUND(G26/P26,3)</f>
        <v>20.164999999999999</v>
      </c>
      <c r="Z26" s="6">
        <f t="shared" ref="Z26" si="83">ROUND(H26/Q26,3)</f>
        <v>5.3819999999999997</v>
      </c>
      <c r="AA26" s="24">
        <f t="shared" ref="AA26" si="84">ROUND(I26/R26,3)</f>
        <v>19.433</v>
      </c>
    </row>
    <row r="27" spans="1:27" s="6" customFormat="1" ht="14.25" customHeight="1" x14ac:dyDescent="0.2">
      <c r="A27" s="21" t="s">
        <v>35</v>
      </c>
      <c r="B27" s="2">
        <f t="shared" ref="B27" si="85">D$2/D27</f>
        <v>10.483185656207652</v>
      </c>
      <c r="C27" s="2">
        <f t="shared" ref="C27" si="86">D26/D27</f>
        <v>1.125737516939435</v>
      </c>
      <c r="D27" s="13">
        <f t="shared" ref="D27" si="87">SUM(F27:H27)</f>
        <v>47.964999999999996</v>
      </c>
      <c r="E27" s="6">
        <v>244.45</v>
      </c>
      <c r="F27" s="23">
        <v>25.658000000000001</v>
      </c>
      <c r="G27" s="6">
        <v>20.745999999999999</v>
      </c>
      <c r="H27" s="6">
        <v>1.5609999999999999</v>
      </c>
      <c r="I27" s="28">
        <v>16.809999999999999</v>
      </c>
      <c r="J27" s="21" t="s">
        <v>35</v>
      </c>
      <c r="K27" s="2">
        <f t="shared" si="63"/>
        <v>18.126901347240327</v>
      </c>
      <c r="L27" s="2">
        <f t="shared" si="64"/>
        <v>1.0417209908735332</v>
      </c>
      <c r="M27" s="13">
        <f t="shared" si="65"/>
        <v>2.3010000000000002</v>
      </c>
      <c r="N27" s="6">
        <v>11.491</v>
      </c>
      <c r="O27" s="23">
        <v>0.98099999999999998</v>
      </c>
      <c r="P27" s="6">
        <v>1.048</v>
      </c>
      <c r="Q27" s="6">
        <v>0.27200000000000002</v>
      </c>
      <c r="R27" s="28">
        <v>0.87</v>
      </c>
      <c r="S27" s="21" t="s">
        <v>35</v>
      </c>
      <c r="T27" s="2">
        <f t="shared" ref="T27" si="88">ROUND(B27/K27,3)</f>
        <v>0.57799999999999996</v>
      </c>
      <c r="U27" s="2">
        <f t="shared" ref="U27" si="89">ROUND(C27/L27,3)</f>
        <v>1.081</v>
      </c>
      <c r="V27" s="13">
        <f t="shared" ref="V27" si="90">ROUND(D27/M27,3)</f>
        <v>20.844999999999999</v>
      </c>
      <c r="W27" s="6">
        <f t="shared" ref="W27" si="91">ROUND(E27/N27,3)</f>
        <v>21.273</v>
      </c>
      <c r="X27" s="23">
        <f t="shared" ref="X27" si="92">ROUND(F27/O27,3)</f>
        <v>26.155000000000001</v>
      </c>
      <c r="Y27" s="6">
        <f t="shared" ref="Y27" si="93">ROUND(G27/P27,3)</f>
        <v>19.795999999999999</v>
      </c>
      <c r="Z27" s="6">
        <f t="shared" ref="Z27" si="94">ROUND(H27/Q27,3)</f>
        <v>5.7389999999999999</v>
      </c>
      <c r="AA27" s="28">
        <f t="shared" ref="AA27" si="95">ROUND(I27/R27,3)</f>
        <v>19.321999999999999</v>
      </c>
    </row>
    <row r="28" spans="1:27" s="6" customFormat="1" ht="14.25" customHeight="1" x14ac:dyDescent="0.2">
      <c r="A28" s="21" t="s">
        <v>36</v>
      </c>
      <c r="B28" s="2">
        <f t="shared" ref="B28" si="96">D$2/D28</f>
        <v>10.945276447540271</v>
      </c>
      <c r="C28" s="2">
        <f t="shared" ref="C28" si="97">D27/D28</f>
        <v>1.0440792337831954</v>
      </c>
      <c r="D28" s="13">
        <f t="shared" ref="D28" si="98">SUM(F28:H28)</f>
        <v>45.94</v>
      </c>
      <c r="E28" s="6">
        <v>245.89400000000001</v>
      </c>
      <c r="F28" s="6">
        <v>25.384</v>
      </c>
      <c r="G28" s="23">
        <v>19.062000000000001</v>
      </c>
      <c r="H28" s="6">
        <v>1.494</v>
      </c>
      <c r="I28" s="24">
        <v>14.589</v>
      </c>
      <c r="J28" s="21" t="s">
        <v>36</v>
      </c>
      <c r="K28" s="2">
        <f t="shared" ref="K28" si="99">M$2/M28</f>
        <v>19.54545454545454</v>
      </c>
      <c r="L28" s="2">
        <f t="shared" ref="L28" si="100">M27/M28</f>
        <v>1.0782567947516399</v>
      </c>
      <c r="M28" s="13">
        <f t="shared" ref="M28" si="101">SUM(O28:Q28)</f>
        <v>2.1340000000000003</v>
      </c>
      <c r="N28" s="6">
        <v>11.385</v>
      </c>
      <c r="O28" s="6">
        <v>0.91100000000000003</v>
      </c>
      <c r="P28" s="23">
        <v>0.95499999999999996</v>
      </c>
      <c r="Q28" s="6">
        <v>0.26800000000000002</v>
      </c>
      <c r="R28" s="24">
        <v>0.76300000000000001</v>
      </c>
      <c r="S28" s="21" t="s">
        <v>36</v>
      </c>
      <c r="T28" s="2">
        <f t="shared" ref="T28" si="102">ROUND(B28/K28,3)</f>
        <v>0.56000000000000005</v>
      </c>
      <c r="U28" s="2">
        <f t="shared" ref="U28" si="103">ROUND(C28/L28,3)</f>
        <v>0.96799999999999997</v>
      </c>
      <c r="V28" s="13">
        <f t="shared" ref="V28" si="104">ROUND(D28/M28,3)</f>
        <v>21.527999999999999</v>
      </c>
      <c r="W28" s="6">
        <f t="shared" ref="W28" si="105">ROUND(E28/N28,3)</f>
        <v>21.597999999999999</v>
      </c>
      <c r="X28" s="6">
        <f t="shared" ref="X28" si="106">ROUND(F28/O28,3)</f>
        <v>27.864000000000001</v>
      </c>
      <c r="Y28" s="23">
        <f t="shared" ref="Y28" si="107">ROUND(G28/P28,3)</f>
        <v>19.96</v>
      </c>
      <c r="Z28" s="6">
        <f t="shared" ref="Z28" si="108">ROUND(H28/Q28,3)</f>
        <v>5.5750000000000002</v>
      </c>
      <c r="AA28" s="24">
        <f t="shared" ref="AA28" si="109">ROUND(I28/R28,3)</f>
        <v>19.120999999999999</v>
      </c>
    </row>
    <row r="29" spans="1:27" s="6" customFormat="1" ht="14.25" customHeight="1" x14ac:dyDescent="0.2">
      <c r="A29" s="19" t="s">
        <v>37</v>
      </c>
      <c r="B29" s="29">
        <f t="shared" ref="B29" si="110">D$2/D29</f>
        <v>13.032657716033384</v>
      </c>
      <c r="C29" s="29">
        <f t="shared" ref="C29" si="111">D28/D29</f>
        <v>1.1907106941060597</v>
      </c>
      <c r="D29" s="30">
        <f t="shared" ref="D29" si="112">SUM(F29:H29)</f>
        <v>38.582000000000001</v>
      </c>
      <c r="E29" s="25">
        <v>243.44900000000001</v>
      </c>
      <c r="F29" s="25">
        <v>24.902000000000001</v>
      </c>
      <c r="G29" s="26">
        <v>12.106999999999999</v>
      </c>
      <c r="H29" s="25">
        <v>1.573</v>
      </c>
      <c r="I29" s="31">
        <v>15.35</v>
      </c>
      <c r="J29" s="19" t="s">
        <v>37</v>
      </c>
      <c r="K29" s="29">
        <f t="shared" ref="K29:K30" si="113">M$2/M29</f>
        <v>22.779901693063895</v>
      </c>
      <c r="L29" s="29">
        <f t="shared" ref="L29:L30" si="114">M28/M29</f>
        <v>1.1654833424358275</v>
      </c>
      <c r="M29" s="30">
        <f t="shared" ref="M29:M30" si="115">SUM(O29:Q29)</f>
        <v>1.831</v>
      </c>
      <c r="N29" s="25">
        <v>11.601000000000001</v>
      </c>
      <c r="O29" s="25">
        <v>0.92100000000000004</v>
      </c>
      <c r="P29" s="26">
        <v>0.64100000000000001</v>
      </c>
      <c r="Q29" s="25">
        <v>0.26900000000000002</v>
      </c>
      <c r="R29" s="31">
        <v>0.76300000000000001</v>
      </c>
      <c r="S29" s="19" t="s">
        <v>37</v>
      </c>
      <c r="T29" s="29">
        <f t="shared" ref="T29" si="116">ROUND(B29/K29,3)</f>
        <v>0.57199999999999995</v>
      </c>
      <c r="U29" s="29">
        <f t="shared" ref="U29" si="117">ROUND(C29/L29,3)</f>
        <v>1.022</v>
      </c>
      <c r="V29" s="30">
        <f t="shared" ref="V29" si="118">ROUND(D29/M29,3)</f>
        <v>21.071999999999999</v>
      </c>
      <c r="W29" s="25">
        <f t="shared" ref="W29" si="119">ROUND(E29/N29,3)</f>
        <v>20.984999999999999</v>
      </c>
      <c r="X29" s="25">
        <f t="shared" ref="X29" si="120">ROUND(F29/O29,3)</f>
        <v>27.038</v>
      </c>
      <c r="Y29" s="26">
        <f t="shared" ref="Y29" si="121">ROUND(G29/P29,3)</f>
        <v>18.888000000000002</v>
      </c>
      <c r="Z29" s="25">
        <f t="shared" ref="Z29" si="122">ROUND(H29/Q29,3)</f>
        <v>5.8479999999999999</v>
      </c>
      <c r="AA29" s="31">
        <f t="shared" ref="AA29" si="123">ROUND(I29/R29,3)</f>
        <v>20.117999999999999</v>
      </c>
    </row>
    <row r="30" spans="1:27" s="6" customFormat="1" ht="14.25" customHeight="1" x14ac:dyDescent="0.2">
      <c r="A30" s="21" t="s">
        <v>38</v>
      </c>
      <c r="B30" s="14">
        <f t="shared" ref="B30" si="124">D$2/D30</f>
        <v>13.091699645907102</v>
      </c>
      <c r="C30" s="14">
        <f t="shared" ref="C30" si="125">D29/D30</f>
        <v>1.0045303061862112</v>
      </c>
      <c r="D30" s="17">
        <f t="shared" ref="D30" si="126">SUM(F30:H30)</f>
        <v>38.408000000000001</v>
      </c>
      <c r="E30" s="23">
        <v>203.16800000000001</v>
      </c>
      <c r="F30" s="6">
        <v>25.029</v>
      </c>
      <c r="G30" s="6">
        <v>11.97</v>
      </c>
      <c r="H30" s="6">
        <v>1.409</v>
      </c>
      <c r="I30" s="28">
        <v>14.571999999999999</v>
      </c>
      <c r="J30" s="21" t="s">
        <v>38</v>
      </c>
      <c r="K30" s="14">
        <f t="shared" si="113"/>
        <v>22.558139534883718</v>
      </c>
      <c r="L30" s="14">
        <f t="shared" si="114"/>
        <v>0.99026500811249318</v>
      </c>
      <c r="M30" s="17">
        <f t="shared" si="115"/>
        <v>1.849</v>
      </c>
      <c r="N30" s="23">
        <v>9.516</v>
      </c>
      <c r="O30" s="6">
        <v>0.94799999999999995</v>
      </c>
      <c r="P30" s="6">
        <v>0.64500000000000002</v>
      </c>
      <c r="Q30" s="6">
        <v>0.25600000000000001</v>
      </c>
      <c r="R30" s="28">
        <v>0.77</v>
      </c>
      <c r="S30" s="21" t="s">
        <v>38</v>
      </c>
      <c r="T30" s="14">
        <f t="shared" ref="T30" si="127">ROUND(B30/K30,3)</f>
        <v>0.57999999999999996</v>
      </c>
      <c r="U30" s="14">
        <f t="shared" ref="U30" si="128">ROUND(C30/L30,3)</f>
        <v>1.014</v>
      </c>
      <c r="V30" s="17">
        <f t="shared" ref="V30" si="129">ROUND(D30/M30,3)</f>
        <v>20.771999999999998</v>
      </c>
      <c r="W30" s="23">
        <f t="shared" ref="W30" si="130">ROUND(E30/N30,3)</f>
        <v>21.35</v>
      </c>
      <c r="X30" s="6">
        <f t="shared" ref="X30" si="131">ROUND(F30/O30,3)</f>
        <v>26.402000000000001</v>
      </c>
      <c r="Y30" s="6">
        <f t="shared" ref="Y30" si="132">ROUND(G30/P30,3)</f>
        <v>18.558</v>
      </c>
      <c r="Z30" s="6">
        <f t="shared" ref="Z30" si="133">ROUND(H30/Q30,3)</f>
        <v>5.5039999999999996</v>
      </c>
      <c r="AA30" s="28">
        <f t="shared" ref="AA30" si="134">ROUND(I30/R30,3)</f>
        <v>18.925000000000001</v>
      </c>
    </row>
    <row r="31" spans="1:27" s="6" customFormat="1" ht="14.25" customHeight="1" x14ac:dyDescent="0.2">
      <c r="A31" s="21" t="s">
        <v>39</v>
      </c>
      <c r="B31" s="2">
        <f t="shared" ref="B31" si="135">D$2/D31</f>
        <v>13.175055679287306</v>
      </c>
      <c r="C31" s="2">
        <f t="shared" ref="C31" si="136">D30/D31</f>
        <v>1.0063670902659505</v>
      </c>
      <c r="D31" s="13">
        <f t="shared" ref="D31" si="137">SUM(F31:H31)</f>
        <v>38.164999999999999</v>
      </c>
      <c r="E31" s="6">
        <v>202.68600000000001</v>
      </c>
      <c r="F31" s="6">
        <v>24.902999999999999</v>
      </c>
      <c r="G31" s="6">
        <v>12.180999999999999</v>
      </c>
      <c r="H31" s="23">
        <v>1.081</v>
      </c>
      <c r="I31" s="28">
        <v>14.708</v>
      </c>
      <c r="J31" s="21" t="s">
        <v>39</v>
      </c>
      <c r="K31" s="2">
        <f t="shared" ref="K31:K39" si="138">M$2/M31</f>
        <v>25.620393120393114</v>
      </c>
      <c r="L31" s="2">
        <f t="shared" ref="L31:L39" si="139">M30/M31</f>
        <v>1.1357493857493857</v>
      </c>
      <c r="M31" s="13">
        <f t="shared" ref="M31:M39" si="140">SUM(O31:Q31)</f>
        <v>1.6280000000000001</v>
      </c>
      <c r="N31" s="6">
        <v>9.4990000000000006</v>
      </c>
      <c r="O31" s="6">
        <v>0.96199999999999997</v>
      </c>
      <c r="P31" s="6">
        <v>0.63800000000000001</v>
      </c>
      <c r="Q31" s="23">
        <v>2.8000000000000001E-2</v>
      </c>
      <c r="R31" s="28">
        <v>0.754</v>
      </c>
      <c r="S31" s="21" t="s">
        <v>39</v>
      </c>
      <c r="T31" s="2">
        <f t="shared" ref="T31" si="141">ROUND(B31/K31,3)</f>
        <v>0.51400000000000001</v>
      </c>
      <c r="U31" s="2">
        <f t="shared" ref="U31" si="142">ROUND(C31/L31,3)</f>
        <v>0.88600000000000001</v>
      </c>
      <c r="V31" s="13">
        <f t="shared" ref="V31" si="143">ROUND(D31/M31,3)</f>
        <v>23.443000000000001</v>
      </c>
      <c r="W31" s="6">
        <f t="shared" ref="W31" si="144">ROUND(E31/N31,3)</f>
        <v>21.338000000000001</v>
      </c>
      <c r="X31" s="6">
        <f t="shared" ref="X31" si="145">ROUND(F31/O31,3)</f>
        <v>25.887</v>
      </c>
      <c r="Y31" s="6">
        <f t="shared" ref="Y31" si="146">ROUND(G31/P31,3)</f>
        <v>19.091999999999999</v>
      </c>
      <c r="Z31" s="23">
        <f t="shared" ref="Z31" si="147">ROUND(H31/Q31,3)</f>
        <v>38.606999999999999</v>
      </c>
      <c r="AA31" s="28">
        <f t="shared" ref="AA31" si="148">ROUND(I31/R31,3)</f>
        <v>19.507000000000001</v>
      </c>
    </row>
    <row r="32" spans="1:27" s="6" customFormat="1" ht="14.25" customHeight="1" x14ac:dyDescent="0.2">
      <c r="A32" s="21" t="s">
        <v>40</v>
      </c>
      <c r="B32" s="14">
        <f t="shared" ref="B32" si="149">D$2/D32</f>
        <v>13.559109049724951</v>
      </c>
      <c r="C32" s="14">
        <f t="shared" ref="C32" si="150">D31/D32</f>
        <v>1.0291500377521303</v>
      </c>
      <c r="D32" s="17">
        <f t="shared" ref="D32" si="151">SUM(F32:H32)</f>
        <v>37.083999999999996</v>
      </c>
      <c r="E32" s="6">
        <v>203.18</v>
      </c>
      <c r="F32" s="23">
        <v>23.972999999999999</v>
      </c>
      <c r="G32" s="6">
        <v>12.041</v>
      </c>
      <c r="H32" s="6">
        <v>1.07</v>
      </c>
      <c r="I32" s="28">
        <v>14.728</v>
      </c>
      <c r="J32" s="21" t="s">
        <v>40</v>
      </c>
      <c r="K32" s="14">
        <f t="shared" si="138"/>
        <v>27.585978835978832</v>
      </c>
      <c r="L32" s="14">
        <f t="shared" si="139"/>
        <v>1.0767195767195767</v>
      </c>
      <c r="M32" s="17">
        <f t="shared" si="140"/>
        <v>1.512</v>
      </c>
      <c r="N32" s="6">
        <v>9.6050000000000004</v>
      </c>
      <c r="O32" s="23">
        <v>0.84099999999999997</v>
      </c>
      <c r="P32" s="6">
        <v>0.64300000000000002</v>
      </c>
      <c r="Q32" s="6">
        <v>2.8000000000000001E-2</v>
      </c>
      <c r="R32" s="28">
        <v>0.75600000000000001</v>
      </c>
      <c r="S32" s="21" t="s">
        <v>40</v>
      </c>
      <c r="T32" s="14">
        <f t="shared" ref="T32:T33" si="152">ROUND(B32/K32,3)</f>
        <v>0.49199999999999999</v>
      </c>
      <c r="U32" s="14">
        <f t="shared" ref="U32:U33" si="153">ROUND(C32/L32,3)</f>
        <v>0.95599999999999996</v>
      </c>
      <c r="V32" s="17">
        <f t="shared" ref="V32:V33" si="154">ROUND(D32/M32,3)</f>
        <v>24.526</v>
      </c>
      <c r="W32" s="6">
        <f t="shared" ref="W32:W33" si="155">ROUND(E32/N32,3)</f>
        <v>21.154</v>
      </c>
      <c r="X32" s="23">
        <f t="shared" ref="X32:X33" si="156">ROUND(F32/O32,3)</f>
        <v>28.504999999999999</v>
      </c>
      <c r="Y32" s="6">
        <f t="shared" ref="Y32:Y33" si="157">ROUND(G32/P32,3)</f>
        <v>18.725999999999999</v>
      </c>
      <c r="Z32" s="6">
        <f t="shared" ref="Z32:Z33" si="158">ROUND(H32/Q32,3)</f>
        <v>38.213999999999999</v>
      </c>
      <c r="AA32" s="28">
        <f t="shared" ref="AA32:AA33" si="159">ROUND(I32/R32,3)</f>
        <v>19.481000000000002</v>
      </c>
    </row>
    <row r="33" spans="1:28" ht="14.25" customHeight="1" x14ac:dyDescent="0.2">
      <c r="A33" s="5" t="s">
        <v>41</v>
      </c>
      <c r="B33" s="14">
        <f t="shared" ref="B33" si="160">D$2/D33</f>
        <v>13.793059936908517</v>
      </c>
      <c r="C33" s="14">
        <f t="shared" ref="C33" si="161">D32/D33</f>
        <v>1.0172541489507609</v>
      </c>
      <c r="D33" s="17">
        <f t="shared" ref="D33" si="162">SUM(F33:H33)</f>
        <v>36.455000000000005</v>
      </c>
      <c r="E33" s="6">
        <v>202.93600000000001</v>
      </c>
      <c r="F33" s="6">
        <v>24.027000000000001</v>
      </c>
      <c r="G33" s="23">
        <v>11.340999999999999</v>
      </c>
      <c r="H33" s="6">
        <v>1.087</v>
      </c>
      <c r="I33" s="24">
        <v>14.503</v>
      </c>
      <c r="J33" s="5" t="s">
        <v>41</v>
      </c>
      <c r="K33" s="14">
        <f t="shared" si="138"/>
        <v>29.623579545454543</v>
      </c>
      <c r="L33" s="14">
        <f t="shared" si="139"/>
        <v>1.0738636363636365</v>
      </c>
      <c r="M33" s="17">
        <f t="shared" si="140"/>
        <v>1.4079999999999999</v>
      </c>
      <c r="N33" s="6">
        <v>9.8279999999999994</v>
      </c>
      <c r="O33" s="6">
        <v>0.78</v>
      </c>
      <c r="P33" s="23">
        <v>0.60299999999999998</v>
      </c>
      <c r="Q33" s="6">
        <v>2.5000000000000001E-2</v>
      </c>
      <c r="R33" s="24">
        <v>0.72</v>
      </c>
      <c r="S33" s="5" t="s">
        <v>41</v>
      </c>
      <c r="T33" s="14">
        <f t="shared" si="152"/>
        <v>0.46600000000000003</v>
      </c>
      <c r="U33" s="14">
        <f t="shared" si="153"/>
        <v>0.94699999999999995</v>
      </c>
      <c r="V33" s="17">
        <f t="shared" si="154"/>
        <v>25.890999999999998</v>
      </c>
      <c r="W33" s="6">
        <f t="shared" si="155"/>
        <v>20.649000000000001</v>
      </c>
      <c r="X33" s="6">
        <f t="shared" si="156"/>
        <v>30.803999999999998</v>
      </c>
      <c r="Y33" s="23">
        <f t="shared" si="157"/>
        <v>18.808</v>
      </c>
      <c r="Z33" s="6">
        <f t="shared" si="158"/>
        <v>43.48</v>
      </c>
      <c r="AA33" s="24">
        <f t="shared" si="159"/>
        <v>20.143000000000001</v>
      </c>
    </row>
    <row r="34" spans="1:28" ht="14.25" customHeight="1" x14ac:dyDescent="0.2">
      <c r="A34" s="5" t="s">
        <v>42</v>
      </c>
      <c r="B34" s="2">
        <f t="shared" ref="B34" si="163">D$2/D34</f>
        <v>13.760597684792426</v>
      </c>
      <c r="C34" s="2">
        <f t="shared" ref="C34" si="164">D33/D34</f>
        <v>0.99764647929722805</v>
      </c>
      <c r="D34" s="13">
        <f t="shared" ref="D34" si="165">SUM(F34:H34)</f>
        <v>36.540999999999997</v>
      </c>
      <c r="E34" s="22">
        <v>203.04400000000001</v>
      </c>
      <c r="F34" s="6">
        <v>24.077999999999999</v>
      </c>
      <c r="G34" s="23">
        <v>11.359</v>
      </c>
      <c r="H34" s="6">
        <v>1.1040000000000001</v>
      </c>
      <c r="I34" s="24">
        <v>14.518000000000001</v>
      </c>
      <c r="J34" s="5" t="s">
        <v>42</v>
      </c>
      <c r="K34" s="2">
        <f t="shared" si="138"/>
        <v>32.739403453689164</v>
      </c>
      <c r="L34" s="2">
        <f t="shared" si="139"/>
        <v>1.1051805337519622</v>
      </c>
      <c r="M34" s="13">
        <f t="shared" si="140"/>
        <v>1.274</v>
      </c>
      <c r="N34" s="22">
        <v>9.5960000000000001</v>
      </c>
      <c r="O34" s="6">
        <v>0.81699999999999995</v>
      </c>
      <c r="P34" s="23">
        <v>0.43099999999999999</v>
      </c>
      <c r="Q34" s="6">
        <v>2.5999999999999999E-2</v>
      </c>
      <c r="R34" s="24">
        <v>0.63300000000000001</v>
      </c>
      <c r="S34" s="5" t="s">
        <v>42</v>
      </c>
      <c r="T34" s="2">
        <f t="shared" ref="T34" si="166">ROUND(B34/K34,3)</f>
        <v>0.42</v>
      </c>
      <c r="U34" s="2">
        <f t="shared" ref="U34" si="167">ROUND(C34/L34,3)</f>
        <v>0.90300000000000002</v>
      </c>
      <c r="V34" s="13">
        <f t="shared" ref="V34" si="168">ROUND(D34/M34,3)</f>
        <v>28.681999999999999</v>
      </c>
      <c r="W34" s="22">
        <f t="shared" ref="W34" si="169">ROUND(E34/N34,3)</f>
        <v>21.158999999999999</v>
      </c>
      <c r="X34" s="6">
        <f t="shared" ref="X34" si="170">ROUND(F34/O34,3)</f>
        <v>29.471</v>
      </c>
      <c r="Y34" s="23">
        <f t="shared" ref="Y34" si="171">ROUND(G34/P34,3)</f>
        <v>26.355</v>
      </c>
      <c r="Z34" s="6">
        <f t="shared" ref="Z34" si="172">ROUND(H34/Q34,3)</f>
        <v>42.462000000000003</v>
      </c>
      <c r="AA34" s="24">
        <f t="shared" ref="AA34" si="173">ROUND(I34/R34,3)</f>
        <v>22.934999999999999</v>
      </c>
    </row>
    <row r="35" spans="1:28" ht="14.25" customHeight="1" x14ac:dyDescent="0.2">
      <c r="A35" s="5" t="s">
        <v>43</v>
      </c>
      <c r="B35" s="2">
        <f t="shared" ref="B35:B36" si="174">D$2/D35</f>
        <v>19.585027654436395</v>
      </c>
      <c r="C35" s="2">
        <f t="shared" ref="C35:C36" si="175">D34/D35</f>
        <v>1.4232686764820439</v>
      </c>
      <c r="D35" s="13">
        <f t="shared" ref="D35:D36" si="176">SUM(F35:H35)</f>
        <v>25.673999999999999</v>
      </c>
      <c r="E35" s="6">
        <v>204.756</v>
      </c>
      <c r="F35" s="23">
        <v>13.173</v>
      </c>
      <c r="G35" s="6">
        <v>11.403</v>
      </c>
      <c r="H35" s="6">
        <v>1.0980000000000001</v>
      </c>
      <c r="I35" s="28">
        <v>14.388</v>
      </c>
      <c r="J35" s="5" t="s">
        <v>43</v>
      </c>
      <c r="K35" s="2">
        <f t="shared" si="138"/>
        <v>33.502008032128508</v>
      </c>
      <c r="L35" s="2">
        <f t="shared" si="139"/>
        <v>1.023293172690763</v>
      </c>
      <c r="M35" s="13">
        <f t="shared" si="140"/>
        <v>1.2450000000000001</v>
      </c>
      <c r="N35" s="6">
        <v>9.3879999999999999</v>
      </c>
      <c r="O35" s="23">
        <v>0.78700000000000003</v>
      </c>
      <c r="P35" s="6">
        <v>0.432</v>
      </c>
      <c r="Q35" s="6">
        <v>2.5999999999999999E-2</v>
      </c>
      <c r="R35" s="28">
        <v>0.63300000000000001</v>
      </c>
      <c r="S35" s="5" t="s">
        <v>43</v>
      </c>
      <c r="T35" s="2">
        <f t="shared" ref="T35" si="177">ROUND(B35/K35,3)</f>
        <v>0.58499999999999996</v>
      </c>
      <c r="U35" s="2">
        <f t="shared" ref="U35" si="178">ROUND(C35/L35,3)</f>
        <v>1.391</v>
      </c>
      <c r="V35" s="13">
        <f t="shared" ref="V35" si="179">ROUND(D35/M35,3)</f>
        <v>20.622</v>
      </c>
      <c r="W35" s="6">
        <f t="shared" ref="W35" si="180">ROUND(E35/N35,3)</f>
        <v>21.81</v>
      </c>
      <c r="X35" s="23">
        <f t="shared" ref="X35" si="181">ROUND(F35/O35,3)</f>
        <v>16.738</v>
      </c>
      <c r="Y35" s="6">
        <f t="shared" ref="Y35" si="182">ROUND(G35/P35,3)</f>
        <v>26.396000000000001</v>
      </c>
      <c r="Z35" s="6">
        <f t="shared" ref="Z35" si="183">ROUND(H35/Q35,3)</f>
        <v>42.231000000000002</v>
      </c>
      <c r="AA35" s="28">
        <f t="shared" ref="AA35" si="184">ROUND(I35/R35,3)</f>
        <v>22.73</v>
      </c>
    </row>
    <row r="36" spans="1:28" ht="14.25" customHeight="1" x14ac:dyDescent="0.2">
      <c r="A36" s="32" t="s">
        <v>44</v>
      </c>
      <c r="B36" s="2">
        <f t="shared" si="174"/>
        <v>20.361449686171291</v>
      </c>
      <c r="C36" s="2">
        <f t="shared" si="175"/>
        <v>1.0396436525612471</v>
      </c>
      <c r="D36" s="13">
        <f t="shared" si="176"/>
        <v>24.695</v>
      </c>
      <c r="E36" s="6">
        <v>202.61199999999999</v>
      </c>
      <c r="F36" s="23">
        <v>12.391</v>
      </c>
      <c r="G36" s="6">
        <v>11.215</v>
      </c>
      <c r="H36" s="6">
        <v>1.089</v>
      </c>
      <c r="I36" s="28">
        <v>14.256</v>
      </c>
      <c r="J36" s="32" t="s">
        <v>44</v>
      </c>
      <c r="K36" s="2">
        <f t="shared" si="138"/>
        <v>37.849364791288565</v>
      </c>
      <c r="L36" s="2">
        <f t="shared" si="139"/>
        <v>1.1297640653357535</v>
      </c>
      <c r="M36" s="13">
        <f t="shared" si="140"/>
        <v>1.1019999999999999</v>
      </c>
      <c r="N36" s="6">
        <v>9.5079999999999991</v>
      </c>
      <c r="O36" s="23">
        <v>0.63900000000000001</v>
      </c>
      <c r="P36" s="6">
        <v>0.434</v>
      </c>
      <c r="Q36" s="6">
        <v>2.9000000000000001E-2</v>
      </c>
      <c r="R36" s="28">
        <v>0.63600000000000001</v>
      </c>
      <c r="S36" s="32" t="s">
        <v>44</v>
      </c>
      <c r="T36" s="2">
        <f t="shared" ref="T36:T37" si="185">ROUND(B36/K36,3)</f>
        <v>0.53800000000000003</v>
      </c>
      <c r="U36" s="2">
        <f t="shared" ref="U36:U37" si="186">ROUND(C36/L36,3)</f>
        <v>0.92</v>
      </c>
      <c r="V36" s="13">
        <f t="shared" ref="V36:V37" si="187">ROUND(D36/M36,3)</f>
        <v>22.408999999999999</v>
      </c>
      <c r="W36" s="6">
        <f t="shared" ref="W36:W37" si="188">ROUND(E36/N36,3)</f>
        <v>21.31</v>
      </c>
      <c r="X36" s="23">
        <f t="shared" ref="X36:X37" si="189">ROUND(F36/O36,3)</f>
        <v>19.390999999999998</v>
      </c>
      <c r="Y36" s="6">
        <f t="shared" ref="Y36:Y37" si="190">ROUND(G36/P36,3)</f>
        <v>25.841000000000001</v>
      </c>
      <c r="Z36" s="6">
        <f t="shared" ref="Z36:Z37" si="191">ROUND(H36/Q36,3)</f>
        <v>37.552</v>
      </c>
      <c r="AA36" s="28">
        <f t="shared" ref="AA36:AA37" si="192">ROUND(I36/R36,3)</f>
        <v>22.414999999999999</v>
      </c>
    </row>
    <row r="37" spans="1:28" ht="14.25" customHeight="1" x14ac:dyDescent="0.2">
      <c r="A37" s="32" t="s">
        <v>45</v>
      </c>
      <c r="B37" s="14">
        <f t="shared" ref="B37:B38" si="193">D$2/D37</f>
        <v>20.604245205703982</v>
      </c>
      <c r="C37" s="14">
        <f t="shared" ref="C37:C38" si="194">D36/D37</f>
        <v>1.0119242747090642</v>
      </c>
      <c r="D37" s="17">
        <f t="shared" ref="D37:D38" si="195">SUM(F37:H37)</f>
        <v>24.404</v>
      </c>
      <c r="E37" s="22">
        <v>202.53399999999999</v>
      </c>
      <c r="F37" s="22">
        <v>12.289</v>
      </c>
      <c r="G37" s="23">
        <v>11.048</v>
      </c>
      <c r="H37" s="22">
        <v>1.0669999999999999</v>
      </c>
      <c r="I37" s="24">
        <v>12.667</v>
      </c>
      <c r="J37" s="32" t="s">
        <v>45</v>
      </c>
      <c r="K37" s="14">
        <f t="shared" si="138"/>
        <v>37.576576576576571</v>
      </c>
      <c r="L37" s="14">
        <f t="shared" si="139"/>
        <v>0.99279279279279253</v>
      </c>
      <c r="M37" s="17">
        <f t="shared" si="140"/>
        <v>1.1100000000000001</v>
      </c>
      <c r="N37" s="22">
        <v>9.5050000000000008</v>
      </c>
      <c r="O37" s="22">
        <v>0.65200000000000002</v>
      </c>
      <c r="P37" s="23">
        <v>0.43</v>
      </c>
      <c r="Q37" s="22">
        <v>2.8000000000000001E-2</v>
      </c>
      <c r="R37" s="24">
        <v>0.623</v>
      </c>
      <c r="S37" s="32" t="s">
        <v>45</v>
      </c>
      <c r="T37" s="14">
        <f t="shared" si="185"/>
        <v>0.54800000000000004</v>
      </c>
      <c r="U37" s="14">
        <f t="shared" si="186"/>
        <v>1.0189999999999999</v>
      </c>
      <c r="V37" s="17">
        <f t="shared" si="187"/>
        <v>21.986000000000001</v>
      </c>
      <c r="W37" s="22">
        <f t="shared" si="188"/>
        <v>21.308</v>
      </c>
      <c r="X37" s="22">
        <f t="shared" si="189"/>
        <v>18.847999999999999</v>
      </c>
      <c r="Y37" s="23">
        <f t="shared" si="190"/>
        <v>25.693000000000001</v>
      </c>
      <c r="Z37" s="22">
        <f t="shared" si="191"/>
        <v>38.106999999999999</v>
      </c>
      <c r="AA37" s="24">
        <f t="shared" si="192"/>
        <v>20.332000000000001</v>
      </c>
    </row>
    <row r="38" spans="1:28" ht="14.25" customHeight="1" x14ac:dyDescent="0.2">
      <c r="A38" s="33" t="s">
        <v>46</v>
      </c>
      <c r="B38" s="8">
        <f t="shared" si="193"/>
        <v>20.223053410553415</v>
      </c>
      <c r="C38" s="8">
        <f t="shared" si="194"/>
        <v>0.9814993564993566</v>
      </c>
      <c r="D38" s="9">
        <f t="shared" si="195"/>
        <v>24.863999999999997</v>
      </c>
      <c r="E38" s="26">
        <v>144.197</v>
      </c>
      <c r="F38" s="34">
        <v>12.666</v>
      </c>
      <c r="G38" s="34">
        <v>11.121</v>
      </c>
      <c r="H38" s="34">
        <v>1.077</v>
      </c>
      <c r="I38" s="31">
        <v>13.003</v>
      </c>
      <c r="J38" s="33" t="s">
        <v>46</v>
      </c>
      <c r="K38" s="8">
        <f t="shared" si="138"/>
        <v>40.377541142303969</v>
      </c>
      <c r="L38" s="8">
        <f t="shared" si="139"/>
        <v>1.0745401742497582</v>
      </c>
      <c r="M38" s="9">
        <f t="shared" si="140"/>
        <v>1.0329999999999999</v>
      </c>
      <c r="N38" s="26">
        <v>7.0209999999999999</v>
      </c>
      <c r="O38" s="34">
        <v>0.59599999999999997</v>
      </c>
      <c r="P38" s="34">
        <v>0.41599999999999998</v>
      </c>
      <c r="Q38" s="34">
        <v>2.1000000000000001E-2</v>
      </c>
      <c r="R38" s="31">
        <v>0.61299999999999999</v>
      </c>
      <c r="S38" s="33" t="s">
        <v>46</v>
      </c>
      <c r="T38" s="8">
        <f t="shared" ref="T38" si="196">ROUND(B38/K38,3)</f>
        <v>0.501</v>
      </c>
      <c r="U38" s="8">
        <f t="shared" ref="U38" si="197">ROUND(C38/L38,3)</f>
        <v>0.91300000000000003</v>
      </c>
      <c r="V38" s="9">
        <f t="shared" ref="V38" si="198">ROUND(D38/M38,3)</f>
        <v>24.07</v>
      </c>
      <c r="W38" s="26">
        <f t="shared" ref="W38" si="199">ROUND(E38/N38,3)</f>
        <v>20.538</v>
      </c>
      <c r="X38" s="34">
        <f t="shared" ref="X38" si="200">ROUND(F38/O38,3)</f>
        <v>21.251999999999999</v>
      </c>
      <c r="Y38" s="34">
        <f t="shared" ref="Y38" si="201">ROUND(G38/P38,3)</f>
        <v>26.733000000000001</v>
      </c>
      <c r="Z38" s="34">
        <f t="shared" ref="Z38" si="202">ROUND(H38/Q38,3)</f>
        <v>51.286000000000001</v>
      </c>
      <c r="AA38" s="31">
        <f t="shared" ref="AA38" si="203">ROUND(I38/R38,3)</f>
        <v>21.212</v>
      </c>
    </row>
    <row r="39" spans="1:28" ht="14.25" customHeight="1" x14ac:dyDescent="0.2">
      <c r="A39" s="32" t="s">
        <v>47</v>
      </c>
      <c r="B39" s="14">
        <f t="shared" ref="B39" si="204">D$2/D39</f>
        <v>20.778792512087275</v>
      </c>
      <c r="C39" s="14">
        <f t="shared" ref="C39" si="205">D38/D39</f>
        <v>1.0274804743997683</v>
      </c>
      <c r="D39" s="17">
        <f t="shared" ref="D39" si="206">SUM(F39:H39)</f>
        <v>24.199000000000002</v>
      </c>
      <c r="E39" s="23">
        <v>1.5449999999999999</v>
      </c>
      <c r="F39" s="6">
        <v>12.114000000000001</v>
      </c>
      <c r="G39" s="6">
        <v>11.016</v>
      </c>
      <c r="H39" s="6">
        <v>1.069</v>
      </c>
      <c r="I39" s="28">
        <v>12.65</v>
      </c>
      <c r="J39" s="32" t="s">
        <v>47</v>
      </c>
      <c r="K39" s="14">
        <f t="shared" si="138"/>
        <v>40.221793635486982</v>
      </c>
      <c r="L39" s="14">
        <f t="shared" si="139"/>
        <v>0.99614271938283505</v>
      </c>
      <c r="M39" s="17">
        <f t="shared" si="140"/>
        <v>1.0369999999999999</v>
      </c>
      <c r="N39" s="23">
        <v>0.37</v>
      </c>
      <c r="O39" s="6">
        <v>0.6</v>
      </c>
      <c r="P39" s="6">
        <v>0.41699999999999998</v>
      </c>
      <c r="Q39" s="6">
        <v>0.02</v>
      </c>
      <c r="R39" s="28">
        <v>0.61199999999999999</v>
      </c>
      <c r="S39" s="32" t="s">
        <v>47</v>
      </c>
      <c r="T39" s="14">
        <f t="shared" ref="T39" si="207">ROUND(B39/K39,3)</f>
        <v>0.51700000000000002</v>
      </c>
      <c r="U39" s="14">
        <f t="shared" ref="U39" si="208">ROUND(C39/L39,3)</f>
        <v>1.0309999999999999</v>
      </c>
      <c r="V39" s="17">
        <f t="shared" ref="V39" si="209">ROUND(D39/M39,3)</f>
        <v>23.335999999999999</v>
      </c>
      <c r="W39" s="23">
        <f t="shared" ref="W39" si="210">ROUND(E39/N39,3)</f>
        <v>4.1760000000000002</v>
      </c>
      <c r="X39" s="6">
        <f t="shared" ref="X39" si="211">ROUND(F39/O39,3)</f>
        <v>20.190000000000001</v>
      </c>
      <c r="Y39" s="6">
        <f t="shared" ref="Y39" si="212">ROUND(G39/P39,3)</f>
        <v>26.417000000000002</v>
      </c>
      <c r="Z39" s="6">
        <f t="shared" ref="Z39" si="213">ROUND(H39/Q39,3)</f>
        <v>53.45</v>
      </c>
      <c r="AA39" s="28">
        <f t="shared" ref="AA39" si="214">ROUND(I39/R39,3)</f>
        <v>20.67</v>
      </c>
    </row>
    <row r="40" spans="1:28" s="22" customFormat="1" ht="14.25" customHeight="1" x14ac:dyDescent="0.2">
      <c r="A40" s="32" t="s">
        <v>48</v>
      </c>
      <c r="B40" s="14">
        <f t="shared" ref="B40:B41" si="215">D$2/D40</f>
        <v>20.639766850012315</v>
      </c>
      <c r="C40" s="14">
        <f t="shared" ref="C40:C41" si="216">D39/D40</f>
        <v>0.99330925211394794</v>
      </c>
      <c r="D40" s="17">
        <f t="shared" ref="D40:D41" si="217">SUM(F40:H40)</f>
        <v>24.362000000000002</v>
      </c>
      <c r="E40" s="23">
        <v>1.363</v>
      </c>
      <c r="F40" s="22">
        <v>12.204000000000001</v>
      </c>
      <c r="G40" s="22">
        <v>11.096</v>
      </c>
      <c r="H40" s="22">
        <v>1.0620000000000001</v>
      </c>
      <c r="I40" s="35">
        <v>12.734999999999999</v>
      </c>
      <c r="J40" s="32" t="s">
        <v>48</v>
      </c>
      <c r="K40" s="14">
        <f t="shared" ref="K40" si="218">M$2/M40</f>
        <v>39.274952919020706</v>
      </c>
      <c r="L40" s="14">
        <f t="shared" ref="L40" si="219">M39/M40</f>
        <v>0.97645951035781531</v>
      </c>
      <c r="M40" s="17">
        <f t="shared" ref="M40" si="220">SUM(O40:Q40)</f>
        <v>1.0620000000000001</v>
      </c>
      <c r="N40" s="23">
        <v>0.19800000000000001</v>
      </c>
      <c r="O40" s="22">
        <v>0.61399999999999999</v>
      </c>
      <c r="P40" s="22">
        <v>0.42399999999999999</v>
      </c>
      <c r="Q40" s="22">
        <v>2.4E-2</v>
      </c>
      <c r="R40" s="35">
        <v>0.622</v>
      </c>
      <c r="S40" s="32" t="s">
        <v>48</v>
      </c>
      <c r="T40" s="14">
        <f t="shared" ref="T40" si="221">ROUND(B40/K40,3)</f>
        <v>0.52600000000000002</v>
      </c>
      <c r="U40" s="14">
        <f t="shared" ref="U40" si="222">ROUND(C40/L40,3)</f>
        <v>1.0169999999999999</v>
      </c>
      <c r="V40" s="17">
        <f t="shared" ref="V40" si="223">ROUND(D40/M40,3)</f>
        <v>22.94</v>
      </c>
      <c r="W40" s="23">
        <f t="shared" ref="W40" si="224">ROUND(E40/N40,3)</f>
        <v>6.8840000000000003</v>
      </c>
      <c r="X40" s="22">
        <f t="shared" ref="X40" si="225">ROUND(F40/O40,3)</f>
        <v>19.876000000000001</v>
      </c>
      <c r="Y40" s="22">
        <f t="shared" ref="Y40" si="226">ROUND(G40/P40,3)</f>
        <v>26.17</v>
      </c>
      <c r="Z40" s="22">
        <f t="shared" ref="Z40" si="227">ROUND(H40/Q40,3)</f>
        <v>44.25</v>
      </c>
      <c r="AA40" s="35">
        <f t="shared" ref="AA40" si="228">ROUND(I40/R40,3)</f>
        <v>20.474</v>
      </c>
      <c r="AB40" s="32"/>
    </row>
    <row r="41" spans="1:28" ht="14.25" customHeight="1" x14ac:dyDescent="0.2">
      <c r="A41" s="32" t="s">
        <v>49</v>
      </c>
      <c r="B41" s="14">
        <f t="shared" si="215"/>
        <v>20.486717731421123</v>
      </c>
      <c r="C41" s="14">
        <f t="shared" si="216"/>
        <v>0.99258474576271194</v>
      </c>
      <c r="D41" s="17">
        <f t="shared" si="217"/>
        <v>24.544</v>
      </c>
      <c r="E41" s="23">
        <v>1.2709999999999999</v>
      </c>
      <c r="F41" s="6">
        <v>12.239000000000001</v>
      </c>
      <c r="G41" s="6">
        <v>11.194000000000001</v>
      </c>
      <c r="H41" s="6">
        <v>1.111</v>
      </c>
      <c r="I41" s="28">
        <v>12.923</v>
      </c>
      <c r="J41" s="32" t="s">
        <v>49</v>
      </c>
      <c r="K41" s="14">
        <f t="shared" ref="K41" si="229">M$2/M41</f>
        <v>42.131313131313128</v>
      </c>
      <c r="L41" s="14">
        <f t="shared" ref="L41" si="230">M40/M41</f>
        <v>1.0727272727272728</v>
      </c>
      <c r="M41" s="17">
        <f t="shared" ref="M41" si="231">SUM(O41:Q41)</f>
        <v>0.99</v>
      </c>
      <c r="N41" s="23">
        <v>0.13600000000000001</v>
      </c>
      <c r="O41" s="6">
        <v>0.61</v>
      </c>
      <c r="P41" s="6">
        <v>0.35699999999999998</v>
      </c>
      <c r="Q41" s="6">
        <v>2.3E-2</v>
      </c>
      <c r="R41" s="28">
        <v>0.57399999999999995</v>
      </c>
      <c r="S41" s="32" t="s">
        <v>49</v>
      </c>
      <c r="T41" s="14">
        <f t="shared" ref="T41" si="232">ROUND(B41/K41,3)</f>
        <v>0.48599999999999999</v>
      </c>
      <c r="U41" s="14">
        <f t="shared" ref="U41" si="233">ROUND(C41/L41,3)</f>
        <v>0.92500000000000004</v>
      </c>
      <c r="V41" s="17">
        <f t="shared" ref="V41" si="234">ROUND(D41/M41,3)</f>
        <v>24.792000000000002</v>
      </c>
      <c r="W41" s="23">
        <f t="shared" ref="W41" si="235">ROUND(E41/N41,3)</f>
        <v>9.3460000000000001</v>
      </c>
      <c r="X41" s="6">
        <f t="shared" ref="X41" si="236">ROUND(F41/O41,3)</f>
        <v>20.064</v>
      </c>
      <c r="Y41" s="6">
        <f t="shared" ref="Y41" si="237">ROUND(G41/P41,3)</f>
        <v>31.356000000000002</v>
      </c>
      <c r="Z41" s="6">
        <f t="shared" ref="Z41" si="238">ROUND(H41/Q41,3)</f>
        <v>48.304000000000002</v>
      </c>
      <c r="AA41" s="28">
        <f t="shared" ref="AA41" si="239">ROUND(I41/R41,3)</f>
        <v>22.513999999999999</v>
      </c>
    </row>
    <row r="42" spans="1:28" ht="14.25" customHeight="1" x14ac:dyDescent="0.2">
      <c r="A42" s="5" t="s">
        <v>50</v>
      </c>
      <c r="B42" s="14">
        <f t="shared" ref="B42" si="240">D$2/D42</f>
        <v>20.243407544587143</v>
      </c>
      <c r="C42" s="14">
        <f t="shared" ref="C42" si="241">D41/D42</f>
        <v>0.98812351543943</v>
      </c>
      <c r="D42" s="17">
        <f t="shared" ref="D42" si="242">SUM(F42:H42)</f>
        <v>24.838999999999999</v>
      </c>
      <c r="E42" s="6">
        <v>1.2829999999999999</v>
      </c>
      <c r="F42" s="23">
        <v>12.587999999999999</v>
      </c>
      <c r="G42" s="6">
        <v>11.166</v>
      </c>
      <c r="H42" s="6">
        <v>1.085</v>
      </c>
      <c r="I42" s="28">
        <v>12.906000000000001</v>
      </c>
      <c r="J42" s="5" t="s">
        <v>50</v>
      </c>
      <c r="K42" s="14">
        <f t="shared" ref="K42" si="243">M$2/M42</f>
        <v>42.259371833839914</v>
      </c>
      <c r="L42" s="14">
        <f t="shared" ref="L42" si="244">M41/M42</f>
        <v>1.0030395136778116</v>
      </c>
      <c r="M42" s="17">
        <f t="shared" ref="M42" si="245">SUM(O42:Q42)</f>
        <v>0.98699999999999999</v>
      </c>
      <c r="N42" s="6">
        <v>0.13400000000000001</v>
      </c>
      <c r="O42" s="23">
        <v>0.60699999999999998</v>
      </c>
      <c r="P42" s="6">
        <v>0.35899999999999999</v>
      </c>
      <c r="Q42" s="6">
        <v>2.1000000000000001E-2</v>
      </c>
      <c r="R42" s="28">
        <v>0.57199999999999995</v>
      </c>
      <c r="S42" s="5" t="s">
        <v>50</v>
      </c>
      <c r="T42" s="14">
        <f t="shared" ref="T42" si="246">ROUND(B42/K42,3)</f>
        <v>0.47899999999999998</v>
      </c>
      <c r="U42" s="14">
        <f t="shared" ref="U42" si="247">ROUND(C42/L42,3)</f>
        <v>0.98499999999999999</v>
      </c>
      <c r="V42" s="17">
        <f t="shared" ref="V42" si="248">ROUND(D42/M42,3)</f>
        <v>25.166</v>
      </c>
      <c r="W42" s="6">
        <f t="shared" ref="W42" si="249">ROUND(E42/N42,3)</f>
        <v>9.5749999999999993</v>
      </c>
      <c r="X42" s="23">
        <f t="shared" ref="X42" si="250">ROUND(F42/O42,3)</f>
        <v>20.738</v>
      </c>
      <c r="Y42" s="6">
        <f t="shared" ref="Y42" si="251">ROUND(G42/P42,3)</f>
        <v>31.103000000000002</v>
      </c>
      <c r="Z42" s="6">
        <f t="shared" ref="Z42" si="252">ROUND(H42/Q42,3)</f>
        <v>51.667000000000002</v>
      </c>
      <c r="AA42" s="28">
        <f t="shared" ref="AA42" si="253">ROUND(I42/R42,3)</f>
        <v>22.562999999999999</v>
      </c>
    </row>
    <row r="43" spans="1:28" ht="14.25" customHeight="1" x14ac:dyDescent="0.2">
      <c r="A43" s="36" t="s">
        <v>51</v>
      </c>
      <c r="B43" s="8">
        <f t="shared" ref="B43" si="254">D$2/D43</f>
        <v>21.889599930346961</v>
      </c>
      <c r="C43" s="8">
        <f t="shared" ref="C43" si="255">D42/D43</f>
        <v>1.081319925122981</v>
      </c>
      <c r="D43" s="9">
        <f t="shared" ref="D43" si="256">SUM(F43:H43)</f>
        <v>22.971</v>
      </c>
      <c r="E43" s="25">
        <v>0.999</v>
      </c>
      <c r="F43" s="26">
        <v>10.816000000000001</v>
      </c>
      <c r="G43" s="25">
        <v>11.086</v>
      </c>
      <c r="H43" s="25">
        <v>1.069</v>
      </c>
      <c r="I43" s="27">
        <v>12.698</v>
      </c>
      <c r="J43" s="36" t="s">
        <v>51</v>
      </c>
      <c r="K43" s="8">
        <f t="shared" ref="K43" si="257">M$2/M43</f>
        <v>42.867420349434731</v>
      </c>
      <c r="L43" s="8">
        <f t="shared" ref="L43" si="258">M42/M43</f>
        <v>1.014388489208633</v>
      </c>
      <c r="M43" s="9">
        <f t="shared" ref="M43" si="259">SUM(O43:Q43)</f>
        <v>0.97299999999999998</v>
      </c>
      <c r="N43" s="25">
        <v>0.09</v>
      </c>
      <c r="O43" s="26">
        <v>0.59099999999999997</v>
      </c>
      <c r="P43" s="25">
        <v>0.35799999999999998</v>
      </c>
      <c r="Q43" s="25">
        <v>2.4E-2</v>
      </c>
      <c r="R43" s="27">
        <v>0.58699999999999997</v>
      </c>
      <c r="S43" s="36" t="s">
        <v>51</v>
      </c>
      <c r="T43" s="8">
        <f t="shared" ref="T43" si="260">ROUND(B43/K43,3)</f>
        <v>0.51100000000000001</v>
      </c>
      <c r="U43" s="8">
        <f t="shared" ref="U43" si="261">ROUND(C43/L43,3)</f>
        <v>1.0660000000000001</v>
      </c>
      <c r="V43" s="9">
        <f t="shared" ref="V43" si="262">ROUND(D43/M43,3)</f>
        <v>23.608000000000001</v>
      </c>
      <c r="W43" s="25">
        <f t="shared" ref="W43" si="263">ROUND(E43/N43,3)</f>
        <v>11.1</v>
      </c>
      <c r="X43" s="26">
        <f t="shared" ref="X43" si="264">ROUND(F43/O43,3)</f>
        <v>18.300999999999998</v>
      </c>
      <c r="Y43" s="25">
        <f t="shared" ref="Y43" si="265">ROUND(G43/P43,3)</f>
        <v>30.966000000000001</v>
      </c>
      <c r="Z43" s="25">
        <f t="shared" ref="Z43" si="266">ROUND(H43/Q43,3)</f>
        <v>44.542000000000002</v>
      </c>
      <c r="AA43" s="27">
        <f t="shared" ref="AA43" si="267">ROUND(I43/R43,3)</f>
        <v>21.632000000000001</v>
      </c>
    </row>
    <row r="44" spans="1:28" ht="14.25" customHeight="1" x14ac:dyDescent="0.2">
      <c r="A44" s="5" t="s">
        <v>52</v>
      </c>
      <c r="B44" s="14">
        <f t="shared" ref="B44" si="268">D$2/D44</f>
        <v>22.433568305523337</v>
      </c>
      <c r="C44" s="14">
        <f t="shared" ref="C44" si="269">D43/D44</f>
        <v>1.0248505398411707</v>
      </c>
      <c r="D44" s="17">
        <f t="shared" ref="D44" si="270">SUM(F44:H44)</f>
        <v>22.413999999999998</v>
      </c>
      <c r="E44" s="6">
        <v>0.79700000000000004</v>
      </c>
      <c r="F44" s="6">
        <v>10.776</v>
      </c>
      <c r="G44" s="6">
        <v>10.999000000000001</v>
      </c>
      <c r="H44" s="23">
        <v>0.63900000000000001</v>
      </c>
      <c r="I44" s="28">
        <v>12.71</v>
      </c>
      <c r="J44" s="5" t="s">
        <v>52</v>
      </c>
      <c r="K44" s="14">
        <f t="shared" ref="K44:K46" si="271">M$2/M44</f>
        <v>43.088842975206603</v>
      </c>
      <c r="L44" s="14">
        <f t="shared" ref="L44:L46" si="272">M43/M44</f>
        <v>1.0051652892561984</v>
      </c>
      <c r="M44" s="17">
        <f t="shared" ref="M44:M46" si="273">SUM(O44:Q44)</f>
        <v>0.96799999999999997</v>
      </c>
      <c r="N44" s="6">
        <v>7.3999999999999996E-2</v>
      </c>
      <c r="O44" s="6">
        <v>0.58599999999999997</v>
      </c>
      <c r="P44" s="6">
        <v>0.35599999999999998</v>
      </c>
      <c r="Q44" s="23">
        <v>2.5999999999999999E-2</v>
      </c>
      <c r="R44" s="28">
        <v>0.58299999999999996</v>
      </c>
      <c r="S44" s="5" t="s">
        <v>52</v>
      </c>
      <c r="T44" s="14">
        <f t="shared" ref="T44" si="274">ROUND(B44/K44,3)</f>
        <v>0.52100000000000002</v>
      </c>
      <c r="U44" s="14">
        <f t="shared" ref="U44" si="275">ROUND(C44/L44,3)</f>
        <v>1.02</v>
      </c>
      <c r="V44" s="17">
        <f t="shared" ref="V44" si="276">ROUND(D44/M44,3)</f>
        <v>23.155000000000001</v>
      </c>
      <c r="W44" s="6">
        <f t="shared" ref="W44" si="277">ROUND(E44/N44,3)</f>
        <v>10.77</v>
      </c>
      <c r="X44" s="6">
        <f t="shared" ref="X44" si="278">ROUND(F44/O44,3)</f>
        <v>18.388999999999999</v>
      </c>
      <c r="Y44" s="6">
        <f t="shared" ref="Y44" si="279">ROUND(G44/P44,3)</f>
        <v>30.896000000000001</v>
      </c>
      <c r="Z44" s="23">
        <f t="shared" ref="Z44" si="280">ROUND(H44/Q44,3)</f>
        <v>24.577000000000002</v>
      </c>
      <c r="AA44" s="28">
        <f t="shared" ref="AA44" si="281">ROUND(I44/R44,3)</f>
        <v>21.800999999999998</v>
      </c>
    </row>
    <row r="45" spans="1:28" ht="14.25" customHeight="1" x14ac:dyDescent="0.2">
      <c r="A45" s="5" t="s">
        <v>53</v>
      </c>
      <c r="B45" s="2">
        <f t="shared" ref="B45" si="282">D$2/D45</f>
        <v>24.721042281219272</v>
      </c>
      <c r="C45" s="2">
        <f t="shared" ref="C45" si="283">D44/D45</f>
        <v>1.1019665683382496</v>
      </c>
      <c r="D45" s="13">
        <f t="shared" ref="D45" si="284">SUM(F45:H45)</f>
        <v>20.34</v>
      </c>
      <c r="E45" s="6">
        <v>0.78600000000000003</v>
      </c>
      <c r="F45" s="23">
        <v>8.6869999999999994</v>
      </c>
      <c r="G45" s="6">
        <v>11.000999999999999</v>
      </c>
      <c r="H45" s="6">
        <v>0.65200000000000002</v>
      </c>
      <c r="I45" s="28">
        <v>12.574999999999999</v>
      </c>
      <c r="J45" s="5" t="s">
        <v>53</v>
      </c>
      <c r="K45" s="2">
        <f t="shared" si="271"/>
        <v>46.655480984340038</v>
      </c>
      <c r="L45" s="2">
        <f t="shared" si="272"/>
        <v>1.0827740492170022</v>
      </c>
      <c r="M45" s="13">
        <f t="shared" si="273"/>
        <v>0.89400000000000002</v>
      </c>
      <c r="N45" s="6">
        <v>7.4999999999999997E-2</v>
      </c>
      <c r="O45" s="23">
        <v>0.51200000000000001</v>
      </c>
      <c r="P45" s="6">
        <v>0.35599999999999998</v>
      </c>
      <c r="Q45" s="6">
        <v>2.5999999999999999E-2</v>
      </c>
      <c r="R45" s="28">
        <v>0.58199999999999996</v>
      </c>
      <c r="S45" s="5" t="s">
        <v>53</v>
      </c>
      <c r="T45" s="2">
        <f t="shared" ref="T45" si="285">ROUND(B45/K45,3)</f>
        <v>0.53</v>
      </c>
      <c r="U45" s="2">
        <f t="shared" ref="U45" si="286">ROUND(C45/L45,3)</f>
        <v>1.018</v>
      </c>
      <c r="V45" s="13">
        <f t="shared" ref="V45" si="287">ROUND(D45/M45,3)</f>
        <v>22.751999999999999</v>
      </c>
      <c r="W45" s="6">
        <f t="shared" ref="W45" si="288">ROUND(E45/N45,3)</f>
        <v>10.48</v>
      </c>
      <c r="X45" s="23">
        <f t="shared" ref="X45" si="289">ROUND(F45/O45,3)</f>
        <v>16.966999999999999</v>
      </c>
      <c r="Y45" s="6">
        <f t="shared" ref="Y45" si="290">ROUND(G45/P45,3)</f>
        <v>30.902000000000001</v>
      </c>
      <c r="Z45" s="6">
        <f t="shared" ref="Z45" si="291">ROUND(H45/Q45,3)</f>
        <v>25.077000000000002</v>
      </c>
      <c r="AA45" s="28">
        <f t="shared" ref="AA45" si="292">ROUND(I45/R45,3)</f>
        <v>21.606999999999999</v>
      </c>
    </row>
    <row r="46" spans="1:28" ht="14.25" customHeight="1" x14ac:dyDescent="0.2">
      <c r="A46" s="5" t="s">
        <v>54</v>
      </c>
      <c r="B46" s="14">
        <f t="shared" ref="B46" si="293">D$2/D46</f>
        <v>24.613343776004701</v>
      </c>
      <c r="C46" s="14">
        <f t="shared" ref="C46" si="294">D45/D46</f>
        <v>0.99564344803955174</v>
      </c>
      <c r="D46" s="17">
        <f t="shared" ref="D46" si="295">SUM(F46:H46)</f>
        <v>20.428999999999998</v>
      </c>
      <c r="E46" s="6">
        <v>0.80500000000000005</v>
      </c>
      <c r="F46" s="6">
        <v>8.7609999999999992</v>
      </c>
      <c r="G46" s="6">
        <v>11.03</v>
      </c>
      <c r="H46" s="6">
        <v>0.63800000000000001</v>
      </c>
      <c r="I46" s="24">
        <v>9.7279999999999998</v>
      </c>
      <c r="J46" s="5" t="s">
        <v>54</v>
      </c>
      <c r="K46" s="14">
        <f t="shared" si="271"/>
        <v>46.395995550611779</v>
      </c>
      <c r="L46" s="14">
        <f t="shared" si="272"/>
        <v>0.99443826473859842</v>
      </c>
      <c r="M46" s="17">
        <f t="shared" si="273"/>
        <v>0.89900000000000002</v>
      </c>
      <c r="N46" s="6">
        <v>8.5000000000000006E-2</v>
      </c>
      <c r="O46" s="6">
        <v>0.51300000000000001</v>
      </c>
      <c r="P46" s="6">
        <v>0.36</v>
      </c>
      <c r="Q46" s="6">
        <v>2.5999999999999999E-2</v>
      </c>
      <c r="R46" s="24">
        <v>0.34300000000000003</v>
      </c>
      <c r="S46" s="5" t="s">
        <v>54</v>
      </c>
      <c r="T46" s="14">
        <f t="shared" ref="T46" si="296">ROUND(B46/K46,3)</f>
        <v>0.53100000000000003</v>
      </c>
      <c r="U46" s="14">
        <f t="shared" ref="U46" si="297">ROUND(C46/L46,3)</f>
        <v>1.0009999999999999</v>
      </c>
      <c r="V46" s="17">
        <f t="shared" ref="V46" si="298">ROUND(D46/M46,3)</f>
        <v>22.724</v>
      </c>
      <c r="W46" s="6">
        <f t="shared" ref="W46" si="299">ROUND(E46/N46,3)</f>
        <v>9.4710000000000001</v>
      </c>
      <c r="X46" s="6">
        <f t="shared" ref="X46" si="300">ROUND(F46/O46,3)</f>
        <v>17.077999999999999</v>
      </c>
      <c r="Y46" s="6">
        <f t="shared" ref="Y46" si="301">ROUND(G46/P46,3)</f>
        <v>30.638999999999999</v>
      </c>
      <c r="Z46" s="6">
        <f t="shared" ref="Z46" si="302">ROUND(H46/Q46,3)</f>
        <v>24.538</v>
      </c>
      <c r="AA46" s="24">
        <f t="shared" ref="AA46" si="303">ROUND(I46/R46,3)</f>
        <v>28.361999999999998</v>
      </c>
    </row>
    <row r="47" spans="1:28" ht="14.25" customHeight="1" x14ac:dyDescent="0.2">
      <c r="A47" s="5" t="s">
        <v>55</v>
      </c>
      <c r="B47" s="14">
        <f t="shared" ref="B47" si="304">D$2/D47</f>
        <v>25.074851643145664</v>
      </c>
      <c r="C47" s="14">
        <f t="shared" ref="C47" si="305">D46/D47</f>
        <v>1.0187503116740637</v>
      </c>
      <c r="D47" s="17">
        <f t="shared" ref="D47" si="306">SUM(F47:H47)</f>
        <v>20.053000000000001</v>
      </c>
      <c r="E47" s="6">
        <v>0.77900000000000003</v>
      </c>
      <c r="F47" s="6">
        <v>8.6950000000000003</v>
      </c>
      <c r="G47" s="23">
        <v>10.651999999999999</v>
      </c>
      <c r="H47" s="6">
        <v>0.70599999999999996</v>
      </c>
      <c r="I47" s="24">
        <v>9.2669999999999995</v>
      </c>
      <c r="J47" s="5" t="s">
        <v>55</v>
      </c>
      <c r="K47" s="14">
        <f t="shared" ref="K47" si="307">M$2/M47</f>
        <v>47.07674943566591</v>
      </c>
      <c r="L47" s="14">
        <f t="shared" ref="L47" si="308">M46/M47</f>
        <v>1.0146726862302484</v>
      </c>
      <c r="M47" s="17">
        <f t="shared" ref="M47" si="309">SUM(O47:Q47)</f>
        <v>0.88600000000000001</v>
      </c>
      <c r="N47" s="6">
        <v>7.9000000000000001E-2</v>
      </c>
      <c r="O47" s="6">
        <v>0.504</v>
      </c>
      <c r="P47" s="23">
        <v>0.35499999999999998</v>
      </c>
      <c r="Q47" s="6">
        <v>2.7E-2</v>
      </c>
      <c r="R47" s="24">
        <v>0.32700000000000001</v>
      </c>
      <c r="S47" s="5" t="s">
        <v>55</v>
      </c>
      <c r="T47" s="14">
        <f t="shared" ref="T47" si="310">ROUND(B47/K47,3)</f>
        <v>0.53300000000000003</v>
      </c>
      <c r="U47" s="14">
        <f t="shared" ref="U47" si="311">ROUND(C47/L47,3)</f>
        <v>1.004</v>
      </c>
      <c r="V47" s="17">
        <f t="shared" ref="V47" si="312">ROUND(D47/M47,3)</f>
        <v>22.632999999999999</v>
      </c>
      <c r="W47" s="6">
        <f t="shared" ref="W47" si="313">ROUND(E47/N47,3)</f>
        <v>9.8610000000000007</v>
      </c>
      <c r="X47" s="6">
        <f t="shared" ref="X47" si="314">ROUND(F47/O47,3)</f>
        <v>17.251999999999999</v>
      </c>
      <c r="Y47" s="23">
        <f t="shared" ref="Y47" si="315">ROUND(G47/P47,3)</f>
        <v>30.006</v>
      </c>
      <c r="Z47" s="6">
        <f t="shared" ref="Z47" si="316">ROUND(H47/Q47,3)</f>
        <v>26.148</v>
      </c>
      <c r="AA47" s="24">
        <f t="shared" ref="AA47" si="317">ROUND(I47/R47,3)</f>
        <v>28.338999999999999</v>
      </c>
    </row>
    <row r="48" spans="1:28" ht="14.25" customHeight="1" x14ac:dyDescent="0.2">
      <c r="A48" s="5" t="s">
        <v>56</v>
      </c>
      <c r="B48" s="2">
        <f t="shared" ref="B48" si="318">D$2/D48</f>
        <v>27.140173800399417</v>
      </c>
      <c r="C48" s="2">
        <f t="shared" ref="C48" si="319">D47/D48</f>
        <v>1.0823662762454795</v>
      </c>
      <c r="D48" s="13">
        <f t="shared" ref="D48" si="320">SUM(F48:H48)</f>
        <v>18.527000000000001</v>
      </c>
      <c r="E48" s="6">
        <v>0.79300000000000004</v>
      </c>
      <c r="F48" s="22">
        <v>8.5990000000000002</v>
      </c>
      <c r="G48" s="23">
        <v>9.2759999999999998</v>
      </c>
      <c r="H48" s="6">
        <v>0.65200000000000002</v>
      </c>
      <c r="I48" s="24">
        <v>7.0030000000000001</v>
      </c>
      <c r="J48" s="5" t="s">
        <v>56</v>
      </c>
      <c r="K48" s="2">
        <f t="shared" ref="K48" si="321">M$2/M48</f>
        <v>54.309895833333321</v>
      </c>
      <c r="L48" s="2">
        <f t="shared" ref="L48" si="322">M47/M48</f>
        <v>1.1536458333333333</v>
      </c>
      <c r="M48" s="13">
        <f t="shared" ref="M48" si="323">SUM(O48:Q48)</f>
        <v>0.76800000000000002</v>
      </c>
      <c r="N48" s="6">
        <v>7.5999999999999998E-2</v>
      </c>
      <c r="O48" s="22">
        <v>0.497</v>
      </c>
      <c r="P48" s="23">
        <v>0.245</v>
      </c>
      <c r="Q48" s="6">
        <v>2.5999999999999999E-2</v>
      </c>
      <c r="R48" s="24">
        <v>0.246</v>
      </c>
      <c r="S48" s="5" t="s">
        <v>56</v>
      </c>
      <c r="T48" s="2">
        <f t="shared" ref="T48" si="324">ROUND(B48/K48,3)</f>
        <v>0.5</v>
      </c>
      <c r="U48" s="2">
        <f t="shared" ref="U48" si="325">ROUND(C48/L48,3)</f>
        <v>0.93799999999999994</v>
      </c>
      <c r="V48" s="13">
        <f t="shared" ref="V48" si="326">ROUND(D48/M48,3)</f>
        <v>24.123999999999999</v>
      </c>
      <c r="W48" s="6">
        <f t="shared" ref="W48" si="327">ROUND(E48/N48,3)</f>
        <v>10.433999999999999</v>
      </c>
      <c r="X48" s="22">
        <f t="shared" ref="X48" si="328">ROUND(F48/O48,3)</f>
        <v>17.302</v>
      </c>
      <c r="Y48" s="23">
        <f t="shared" ref="Y48" si="329">ROUND(G48/P48,3)</f>
        <v>37.860999999999997</v>
      </c>
      <c r="Z48" s="6">
        <f t="shared" ref="Z48" si="330">ROUND(H48/Q48,3)</f>
        <v>25.077000000000002</v>
      </c>
      <c r="AA48" s="24">
        <f t="shared" ref="AA48" si="331">ROUND(I48/R48,3)</f>
        <v>28.466999999999999</v>
      </c>
    </row>
    <row r="49" spans="1:28" ht="14.25" customHeight="1" x14ac:dyDescent="0.2">
      <c r="A49" s="5" t="s">
        <v>57</v>
      </c>
      <c r="B49" s="14">
        <f t="shared" ref="B49" si="332">D$2/D49</f>
        <v>27.448332332550905</v>
      </c>
      <c r="C49" s="14">
        <f t="shared" ref="C49" si="333">D48/D49</f>
        <v>1.0113543315683171</v>
      </c>
      <c r="D49" s="17">
        <f t="shared" ref="D49" si="334">SUM(F49:H49)</f>
        <v>18.318999999999999</v>
      </c>
      <c r="E49" s="23">
        <v>0.622</v>
      </c>
      <c r="F49" s="6">
        <v>8.5969999999999995</v>
      </c>
      <c r="G49" s="6">
        <v>9.06</v>
      </c>
      <c r="H49" s="6">
        <v>0.66200000000000003</v>
      </c>
      <c r="I49" s="24">
        <v>6.9969999999999999</v>
      </c>
      <c r="J49" s="5" t="s">
        <v>57</v>
      </c>
      <c r="K49" s="14">
        <f t="shared" ref="K49" si="335">M$2/M49</f>
        <v>54.309895833333321</v>
      </c>
      <c r="L49" s="14">
        <f t="shared" ref="L49" si="336">M48/M49</f>
        <v>1</v>
      </c>
      <c r="M49" s="17">
        <f t="shared" ref="M49" si="337">SUM(O49:Q49)</f>
        <v>0.76800000000000002</v>
      </c>
      <c r="N49" s="23">
        <v>7.4999999999999997E-2</v>
      </c>
      <c r="O49" s="6">
        <v>0.501</v>
      </c>
      <c r="P49" s="6">
        <v>0.24099999999999999</v>
      </c>
      <c r="Q49" s="6">
        <v>2.5999999999999999E-2</v>
      </c>
      <c r="R49" s="24">
        <v>0.24099999999999999</v>
      </c>
      <c r="S49" s="5" t="s">
        <v>57</v>
      </c>
      <c r="T49" s="14">
        <f t="shared" ref="T49" si="338">ROUND(B49/K49,3)</f>
        <v>0.505</v>
      </c>
      <c r="U49" s="14">
        <f t="shared" ref="U49" si="339">ROUND(C49/L49,3)</f>
        <v>1.0109999999999999</v>
      </c>
      <c r="V49" s="17">
        <f t="shared" ref="V49" si="340">ROUND(D49/M49,3)</f>
        <v>23.853000000000002</v>
      </c>
      <c r="W49" s="23">
        <f t="shared" ref="W49" si="341">ROUND(E49/N49,3)</f>
        <v>8.2929999999999993</v>
      </c>
      <c r="X49" s="6">
        <f t="shared" ref="X49" si="342">ROUND(F49/O49,3)</f>
        <v>17.16</v>
      </c>
      <c r="Y49" s="6">
        <f t="shared" ref="Y49" si="343">ROUND(G49/P49,3)</f>
        <v>37.593000000000004</v>
      </c>
      <c r="Z49" s="6">
        <f t="shared" ref="Z49" si="344">ROUND(H49/Q49,3)</f>
        <v>25.462</v>
      </c>
      <c r="AA49" s="24">
        <f t="shared" ref="AA49" si="345">ROUND(I49/R49,3)</f>
        <v>29.033000000000001</v>
      </c>
    </row>
    <row r="50" spans="1:28" ht="14.25" customHeight="1" x14ac:dyDescent="0.2">
      <c r="A50" s="5" t="s">
        <v>58</v>
      </c>
      <c r="B50" s="2">
        <f t="shared" ref="B50" si="346">D$2/D50</f>
        <v>28.777313569507243</v>
      </c>
      <c r="C50" s="2">
        <f t="shared" ref="C50" si="347">D49/D50</f>
        <v>1.0484175585188578</v>
      </c>
      <c r="D50" s="13">
        <f t="shared" ref="D50" si="348">SUM(F50:H50)</f>
        <v>17.472999999999999</v>
      </c>
      <c r="E50" s="6">
        <v>0.64400000000000002</v>
      </c>
      <c r="F50" s="23">
        <v>7.7560000000000002</v>
      </c>
      <c r="G50" s="6">
        <v>9.077</v>
      </c>
      <c r="H50" s="6">
        <v>0.64</v>
      </c>
      <c r="I50" s="28">
        <v>6.9459999999999997</v>
      </c>
      <c r="J50" s="5" t="s">
        <v>58</v>
      </c>
      <c r="K50" s="2">
        <f t="shared" ref="K50" si="349">M$2/M50</f>
        <v>56.288798920377857</v>
      </c>
      <c r="L50" s="2">
        <f t="shared" ref="L50" si="350">M49/M50</f>
        <v>1.0364372469635628</v>
      </c>
      <c r="M50" s="13">
        <f t="shared" ref="M50" si="351">SUM(O50:Q50)</f>
        <v>0.74099999999999999</v>
      </c>
      <c r="N50" s="6">
        <v>7.2999999999999995E-2</v>
      </c>
      <c r="O50" s="23">
        <v>0.47399999999999998</v>
      </c>
      <c r="P50" s="6">
        <v>0.24099999999999999</v>
      </c>
      <c r="Q50" s="6">
        <v>2.5999999999999999E-2</v>
      </c>
      <c r="R50" s="28">
        <v>0.24099999999999999</v>
      </c>
      <c r="S50" s="5" t="s">
        <v>58</v>
      </c>
      <c r="T50" s="2">
        <f t="shared" ref="T50" si="352">ROUND(B50/K50,3)</f>
        <v>0.51100000000000001</v>
      </c>
      <c r="U50" s="2">
        <f t="shared" ref="U50" si="353">ROUND(C50/L50,3)</f>
        <v>1.012</v>
      </c>
      <c r="V50" s="13">
        <f t="shared" ref="V50" si="354">ROUND(D50/M50,3)</f>
        <v>23.58</v>
      </c>
      <c r="W50" s="6">
        <f t="shared" ref="W50" si="355">ROUND(E50/N50,3)</f>
        <v>8.8219999999999992</v>
      </c>
      <c r="X50" s="23">
        <f t="shared" ref="X50" si="356">ROUND(F50/O50,3)</f>
        <v>16.363</v>
      </c>
      <c r="Y50" s="6">
        <f t="shared" ref="Y50" si="357">ROUND(G50/P50,3)</f>
        <v>37.664000000000001</v>
      </c>
      <c r="Z50" s="6">
        <f t="shared" ref="Z50" si="358">ROUND(H50/Q50,3)</f>
        <v>24.614999999999998</v>
      </c>
      <c r="AA50" s="28">
        <f t="shared" ref="AA50" si="359">ROUND(I50/R50,3)</f>
        <v>28.821999999999999</v>
      </c>
    </row>
    <row r="51" spans="1:28" ht="14.25" customHeight="1" x14ac:dyDescent="0.2">
      <c r="A51" s="36" t="s">
        <v>59</v>
      </c>
      <c r="B51" s="29">
        <f t="shared" ref="B51" si="360">D$2/D51</f>
        <v>32.602347143876031</v>
      </c>
      <c r="C51" s="29">
        <f t="shared" ref="C51" si="361">D50/D51</f>
        <v>1.1329183686701678</v>
      </c>
      <c r="D51" s="30">
        <f t="shared" ref="D51" si="362">SUM(F51:H51)</f>
        <v>15.423</v>
      </c>
      <c r="E51" s="25">
        <v>0.66400000000000003</v>
      </c>
      <c r="F51" s="25">
        <v>7.7590000000000003</v>
      </c>
      <c r="G51" s="26">
        <v>7.0129999999999999</v>
      </c>
      <c r="H51" s="25">
        <v>0.65100000000000002</v>
      </c>
      <c r="I51" s="37">
        <v>4.9580000000000002</v>
      </c>
      <c r="J51" s="36" t="s">
        <v>59</v>
      </c>
      <c r="K51" s="29">
        <f t="shared" ref="K51:K53" si="363">M$2/M51</f>
        <v>62.721804511278179</v>
      </c>
      <c r="L51" s="29">
        <f t="shared" ref="L51:L53" si="364">M50/M51</f>
        <v>1.1142857142857143</v>
      </c>
      <c r="M51" s="30">
        <f t="shared" ref="M51:M53" si="365">SUM(O51:Q51)</f>
        <v>0.66500000000000004</v>
      </c>
      <c r="N51" s="25">
        <v>7.0000000000000007E-2</v>
      </c>
      <c r="O51" s="25">
        <v>0.47399999999999998</v>
      </c>
      <c r="P51" s="26">
        <v>0.16600000000000001</v>
      </c>
      <c r="Q51" s="25">
        <v>2.5000000000000001E-2</v>
      </c>
      <c r="R51" s="37">
        <v>0.17599999999999999</v>
      </c>
      <c r="S51" s="36" t="s">
        <v>59</v>
      </c>
      <c r="T51" s="29">
        <f t="shared" ref="T51" si="366">ROUND(B51/K51,3)</f>
        <v>0.52</v>
      </c>
      <c r="U51" s="29">
        <f t="shared" ref="U51" si="367">ROUND(C51/L51,3)</f>
        <v>1.0169999999999999</v>
      </c>
      <c r="V51" s="30">
        <f t="shared" ref="V51" si="368">ROUND(D51/M51,3)</f>
        <v>23.192</v>
      </c>
      <c r="W51" s="25">
        <f t="shared" ref="W51" si="369">ROUND(E51/N51,3)</f>
        <v>9.4860000000000007</v>
      </c>
      <c r="X51" s="25">
        <f t="shared" ref="X51" si="370">ROUND(F51/O51,3)</f>
        <v>16.369</v>
      </c>
      <c r="Y51" s="26">
        <f t="shared" ref="Y51" si="371">ROUND(G51/P51,3)</f>
        <v>42.247</v>
      </c>
      <c r="Z51" s="25">
        <f t="shared" ref="Z51" si="372">ROUND(H51/Q51,3)</f>
        <v>26.04</v>
      </c>
      <c r="AA51" s="37">
        <f t="shared" ref="AA51" si="373">ROUND(I51/R51,3)</f>
        <v>28.17</v>
      </c>
    </row>
    <row r="52" spans="1:28" ht="14.25" customHeight="1" x14ac:dyDescent="0.2">
      <c r="A52" s="5" t="s">
        <v>60</v>
      </c>
      <c r="B52" s="14">
        <f t="shared" ref="B52:B53" si="374">D$2/D52</f>
        <v>32.346477967192023</v>
      </c>
      <c r="C52" s="14">
        <f t="shared" ref="C52:C53" si="375">D51/D52</f>
        <v>0.99215181730459956</v>
      </c>
      <c r="D52" s="17">
        <f t="shared" ref="D52:D53" si="376">SUM(F52:H52)</f>
        <v>15.545</v>
      </c>
      <c r="E52" s="6">
        <v>0.629</v>
      </c>
      <c r="F52" s="6">
        <v>7.8220000000000001</v>
      </c>
      <c r="G52" s="6">
        <v>7.032</v>
      </c>
      <c r="H52" s="6">
        <v>0.69099999999999995</v>
      </c>
      <c r="I52" s="24">
        <v>4.968</v>
      </c>
      <c r="J52" s="5" t="s">
        <v>60</v>
      </c>
      <c r="K52" s="14">
        <f t="shared" si="363"/>
        <v>62.816265060240951</v>
      </c>
      <c r="L52" s="14">
        <f t="shared" si="364"/>
        <v>1.0015060240963856</v>
      </c>
      <c r="M52" s="17">
        <f t="shared" si="365"/>
        <v>0.66400000000000003</v>
      </c>
      <c r="N52" s="6">
        <v>7.2999999999999995E-2</v>
      </c>
      <c r="O52" s="6">
        <v>0.47299999999999998</v>
      </c>
      <c r="P52" s="6">
        <v>0.16500000000000001</v>
      </c>
      <c r="Q52" s="6">
        <v>2.5999999999999999E-2</v>
      </c>
      <c r="R52" s="24">
        <v>0.17599999999999999</v>
      </c>
      <c r="S52" s="5" t="s">
        <v>60</v>
      </c>
      <c r="T52" s="14">
        <f t="shared" ref="T52:T53" si="377">ROUND(B52/K52,3)</f>
        <v>0.51500000000000001</v>
      </c>
      <c r="U52" s="14">
        <f t="shared" ref="U52:U53" si="378">ROUND(C52/L52,3)</f>
        <v>0.99099999999999999</v>
      </c>
      <c r="V52" s="17">
        <f t="shared" ref="V52:V53" si="379">ROUND(D52/M52,3)</f>
        <v>23.411000000000001</v>
      </c>
      <c r="W52" s="6">
        <f t="shared" ref="W52:W53" si="380">ROUND(E52/N52,3)</f>
        <v>8.6159999999999997</v>
      </c>
      <c r="X52" s="6">
        <f t="shared" ref="X52:X53" si="381">ROUND(F52/O52,3)</f>
        <v>16.536999999999999</v>
      </c>
      <c r="Y52" s="6">
        <f t="shared" ref="Y52:Y53" si="382">ROUND(G52/P52,3)</f>
        <v>42.618000000000002</v>
      </c>
      <c r="Z52" s="6">
        <f t="shared" ref="Z52:Z53" si="383">ROUND(H52/Q52,3)</f>
        <v>26.577000000000002</v>
      </c>
      <c r="AA52" s="24">
        <f t="shared" ref="AA52:AA53" si="384">ROUND(I52/R52,3)</f>
        <v>28.227</v>
      </c>
    </row>
    <row r="53" spans="1:28" ht="14.25" customHeight="1" x14ac:dyDescent="0.2">
      <c r="A53" s="5" t="s">
        <v>61</v>
      </c>
      <c r="B53" s="14">
        <f t="shared" si="374"/>
        <v>33.240298803464007</v>
      </c>
      <c r="C53" s="14">
        <f t="shared" si="375"/>
        <v>1.0276327097243338</v>
      </c>
      <c r="D53" s="17">
        <f t="shared" si="376"/>
        <v>15.127000000000001</v>
      </c>
      <c r="E53" s="6">
        <v>0.67400000000000004</v>
      </c>
      <c r="F53" s="6">
        <v>7.7759999999999998</v>
      </c>
      <c r="G53" s="23">
        <v>6.6840000000000002</v>
      </c>
      <c r="H53" s="6">
        <v>0.66700000000000004</v>
      </c>
      <c r="I53" s="24">
        <v>4.9109999999999996</v>
      </c>
      <c r="J53" s="5" t="s">
        <v>61</v>
      </c>
      <c r="K53" s="14">
        <f t="shared" si="363"/>
        <v>63.972392638036801</v>
      </c>
      <c r="L53" s="14">
        <f t="shared" si="364"/>
        <v>1.0184049079754602</v>
      </c>
      <c r="M53" s="17">
        <f t="shared" si="365"/>
        <v>0.65200000000000002</v>
      </c>
      <c r="N53" s="6">
        <v>7.0000000000000007E-2</v>
      </c>
      <c r="O53" s="6">
        <v>0.47399999999999998</v>
      </c>
      <c r="P53" s="23">
        <v>0.153</v>
      </c>
      <c r="Q53" s="6">
        <v>2.5000000000000001E-2</v>
      </c>
      <c r="R53" s="24">
        <v>0.16400000000000001</v>
      </c>
      <c r="S53" s="5" t="s">
        <v>61</v>
      </c>
      <c r="T53" s="14">
        <f t="shared" si="377"/>
        <v>0.52</v>
      </c>
      <c r="U53" s="14">
        <f t="shared" si="378"/>
        <v>1.0089999999999999</v>
      </c>
      <c r="V53" s="17">
        <f t="shared" si="379"/>
        <v>23.201000000000001</v>
      </c>
      <c r="W53" s="6">
        <f t="shared" si="380"/>
        <v>9.6289999999999996</v>
      </c>
      <c r="X53" s="6">
        <f t="shared" si="381"/>
        <v>16.405000000000001</v>
      </c>
      <c r="Y53" s="23">
        <f t="shared" si="382"/>
        <v>43.686</v>
      </c>
      <c r="Z53" s="6">
        <f t="shared" si="383"/>
        <v>26.68</v>
      </c>
      <c r="AA53" s="24">
        <f t="shared" si="384"/>
        <v>29.945</v>
      </c>
    </row>
    <row r="54" spans="1:28" ht="14.25" customHeight="1" x14ac:dyDescent="0.2">
      <c r="A54" s="5" t="s">
        <v>62</v>
      </c>
      <c r="B54" s="14">
        <f t="shared" ref="B54" si="385">D$2/D54</f>
        <v>33.64735010706638</v>
      </c>
      <c r="C54" s="14">
        <f t="shared" ref="C54" si="386">D53/D54</f>
        <v>1.0122457173447537</v>
      </c>
      <c r="D54" s="17">
        <f t="shared" ref="D54" si="387">SUM(F54:H54)</f>
        <v>14.944000000000001</v>
      </c>
      <c r="E54" s="23">
        <v>0.4</v>
      </c>
      <c r="F54" s="6">
        <v>7.5190000000000001</v>
      </c>
      <c r="G54" s="6">
        <v>6.7629999999999999</v>
      </c>
      <c r="H54" s="6">
        <v>0.66200000000000003</v>
      </c>
      <c r="I54" s="28">
        <v>4.694</v>
      </c>
      <c r="J54" s="5" t="s">
        <v>62</v>
      </c>
      <c r="K54" s="14">
        <f t="shared" ref="K54" si="388">M$2/M54</f>
        <v>64.070660522273414</v>
      </c>
      <c r="L54" s="14">
        <f t="shared" ref="L54" si="389">M53/M54</f>
        <v>1.0015360983102919</v>
      </c>
      <c r="M54" s="17">
        <f t="shared" ref="M54" si="390">SUM(O54:Q54)</f>
        <v>0.65100000000000002</v>
      </c>
      <c r="N54" s="23">
        <v>6.4000000000000001E-2</v>
      </c>
      <c r="O54" s="6">
        <v>0.47199999999999998</v>
      </c>
      <c r="P54" s="6">
        <v>0.154</v>
      </c>
      <c r="Q54" s="6">
        <v>2.5000000000000001E-2</v>
      </c>
      <c r="R54" s="28">
        <v>0.14899999999999999</v>
      </c>
      <c r="S54" s="5" t="s">
        <v>62</v>
      </c>
      <c r="T54" s="14">
        <f t="shared" ref="T54" si="391">ROUND(B54/K54,3)</f>
        <v>0.52500000000000002</v>
      </c>
      <c r="U54" s="14">
        <f t="shared" ref="U54" si="392">ROUND(C54/L54,3)</f>
        <v>1.0109999999999999</v>
      </c>
      <c r="V54" s="17">
        <f t="shared" ref="V54" si="393">ROUND(D54/M54,3)</f>
        <v>22.954999999999998</v>
      </c>
      <c r="W54" s="23">
        <f t="shared" ref="W54" si="394">ROUND(E54/N54,3)</f>
        <v>6.25</v>
      </c>
      <c r="X54" s="6">
        <f t="shared" ref="X54" si="395">ROUND(F54/O54,3)</f>
        <v>15.93</v>
      </c>
      <c r="Y54" s="6">
        <f t="shared" ref="Y54" si="396">ROUND(G54/P54,3)</f>
        <v>43.915999999999997</v>
      </c>
      <c r="Z54" s="6">
        <f t="shared" ref="Z54" si="397">ROUND(H54/Q54,3)</f>
        <v>26.48</v>
      </c>
      <c r="AA54" s="28">
        <f t="shared" ref="AA54" si="398">ROUND(I54/R54,3)</f>
        <v>31.503</v>
      </c>
    </row>
    <row r="55" spans="1:28" ht="14.25" customHeight="1" x14ac:dyDescent="0.2">
      <c r="A55" s="5" t="s">
        <v>63</v>
      </c>
      <c r="B55" s="2">
        <f t="shared" ref="B55:B56" si="399">D$2/D55</f>
        <v>46.377605607821444</v>
      </c>
      <c r="C55" s="2">
        <f t="shared" ref="C55:C56" si="400">D54/D55</f>
        <v>1.3783434790629037</v>
      </c>
      <c r="D55" s="13">
        <f t="shared" ref="D55:D56" si="401">SUM(F55:H55)</f>
        <v>10.841999999999999</v>
      </c>
      <c r="E55" s="6">
        <v>0.498</v>
      </c>
      <c r="F55" s="6">
        <v>7.2969999999999997</v>
      </c>
      <c r="G55" s="23">
        <v>3.2909999999999999</v>
      </c>
      <c r="H55" s="23">
        <v>0.254</v>
      </c>
      <c r="I55" s="24">
        <v>2.742</v>
      </c>
      <c r="J55" s="5" t="s">
        <v>63</v>
      </c>
      <c r="K55" s="2">
        <f t="shared" ref="K55:K56" si="402">M$2/M55</f>
        <v>64.169230769230751</v>
      </c>
      <c r="L55" s="2">
        <f t="shared" ref="L55:L56" si="403">M54/M55</f>
        <v>1.0015384615384615</v>
      </c>
      <c r="M55" s="13">
        <f t="shared" ref="M55:M56" si="404">SUM(O55:Q55)</f>
        <v>0.65</v>
      </c>
      <c r="N55" s="6">
        <v>9.0999999999999998E-2</v>
      </c>
      <c r="O55" s="6">
        <v>0.47199999999999998</v>
      </c>
      <c r="P55" s="23">
        <v>0.153</v>
      </c>
      <c r="Q55" s="23">
        <v>2.5000000000000001E-2</v>
      </c>
      <c r="R55" s="24">
        <v>0.14899999999999999</v>
      </c>
      <c r="S55" s="5" t="s">
        <v>63</v>
      </c>
      <c r="T55" s="2">
        <f t="shared" ref="T55" si="405">ROUND(B55/K55,3)</f>
        <v>0.72299999999999998</v>
      </c>
      <c r="U55" s="2">
        <f t="shared" ref="U55" si="406">ROUND(C55/L55,3)</f>
        <v>1.3759999999999999</v>
      </c>
      <c r="V55" s="13">
        <f t="shared" ref="V55" si="407">ROUND(D55/M55,3)</f>
        <v>16.68</v>
      </c>
      <c r="W55" s="6">
        <f t="shared" ref="W55" si="408">ROUND(E55/N55,3)</f>
        <v>5.4729999999999999</v>
      </c>
      <c r="X55" s="6">
        <f t="shared" ref="X55" si="409">ROUND(F55/O55,3)</f>
        <v>15.46</v>
      </c>
      <c r="Y55" s="23">
        <f t="shared" ref="Y55" si="410">ROUND(G55/P55,3)</f>
        <v>21.51</v>
      </c>
      <c r="Z55" s="23">
        <f t="shared" ref="Z55" si="411">ROUND(H55/Q55,3)</f>
        <v>10.16</v>
      </c>
      <c r="AA55" s="24">
        <f t="shared" ref="AA55" si="412">ROUND(I55/R55,3)</f>
        <v>18.402999999999999</v>
      </c>
    </row>
    <row r="56" spans="1:28" s="22" customFormat="1" ht="14.25" customHeight="1" x14ac:dyDescent="0.2">
      <c r="A56" s="32" t="s">
        <v>64</v>
      </c>
      <c r="B56" s="14">
        <f t="shared" si="399"/>
        <v>46.394722273482188</v>
      </c>
      <c r="C56" s="14">
        <f t="shared" si="400"/>
        <v>1.0003690717844618</v>
      </c>
      <c r="D56" s="17">
        <f t="shared" si="401"/>
        <v>10.838000000000001</v>
      </c>
      <c r="E56" s="23">
        <v>0.39400000000000002</v>
      </c>
      <c r="F56" s="22">
        <v>7.2670000000000003</v>
      </c>
      <c r="G56" s="22">
        <v>3.3239999999999998</v>
      </c>
      <c r="H56" s="23">
        <v>0.247</v>
      </c>
      <c r="I56" s="35">
        <v>2.758</v>
      </c>
      <c r="J56" s="32" t="s">
        <v>64</v>
      </c>
      <c r="K56" s="14">
        <f t="shared" si="402"/>
        <v>64.566563467492244</v>
      </c>
      <c r="L56" s="14">
        <f t="shared" si="403"/>
        <v>1.0061919504643964</v>
      </c>
      <c r="M56" s="17">
        <f t="shared" si="404"/>
        <v>0.64600000000000002</v>
      </c>
      <c r="N56" s="23">
        <v>6.5000000000000002E-2</v>
      </c>
      <c r="O56" s="22">
        <v>0.47499999999999998</v>
      </c>
      <c r="P56" s="22">
        <v>0.153</v>
      </c>
      <c r="Q56" s="23">
        <v>1.7999999999999999E-2</v>
      </c>
      <c r="R56" s="35">
        <v>0.14899999999999999</v>
      </c>
      <c r="S56" s="32" t="s">
        <v>64</v>
      </c>
      <c r="T56" s="14">
        <f t="shared" ref="T56" si="413">ROUND(B56/K56,3)</f>
        <v>0.71899999999999997</v>
      </c>
      <c r="U56" s="14">
        <f t="shared" ref="U56" si="414">ROUND(C56/L56,3)</f>
        <v>0.99399999999999999</v>
      </c>
      <c r="V56" s="17">
        <f t="shared" ref="V56" si="415">ROUND(D56/M56,3)</f>
        <v>16.777000000000001</v>
      </c>
      <c r="W56" s="23">
        <f t="shared" ref="W56" si="416">ROUND(E56/N56,3)</f>
        <v>6.0620000000000003</v>
      </c>
      <c r="X56" s="22">
        <f t="shared" ref="X56" si="417">ROUND(F56/O56,3)</f>
        <v>15.298999999999999</v>
      </c>
      <c r="Y56" s="22">
        <f t="shared" ref="Y56" si="418">ROUND(G56/P56,3)</f>
        <v>21.725000000000001</v>
      </c>
      <c r="Z56" s="23">
        <f t="shared" ref="Z56" si="419">ROUND(H56/Q56,3)</f>
        <v>13.722</v>
      </c>
      <c r="AA56" s="35">
        <f t="shared" ref="AA56" si="420">ROUND(I56/R56,3)</f>
        <v>18.510000000000002</v>
      </c>
      <c r="AB56" s="32"/>
    </row>
    <row r="57" spans="1:28" ht="14.25" customHeight="1" x14ac:dyDescent="0.2">
      <c r="A57" s="5" t="s">
        <v>65</v>
      </c>
      <c r="B57" s="2">
        <f t="shared" ref="B57:B58" si="421">D$2/D57</f>
        <v>50.27254549090182</v>
      </c>
      <c r="C57" s="2">
        <f t="shared" ref="C57:C58" si="422">D56/D57</f>
        <v>1.0835832833433314</v>
      </c>
      <c r="D57" s="13">
        <f t="shared" ref="D57:D58" si="423">SUM(F57:H57)</f>
        <v>10.002000000000001</v>
      </c>
      <c r="E57" s="6">
        <v>0.42199999999999999</v>
      </c>
      <c r="F57" s="23">
        <v>6.5839999999999996</v>
      </c>
      <c r="G57" s="23">
        <v>3.1819999999999999</v>
      </c>
      <c r="H57" s="23">
        <v>0.23599999999999999</v>
      </c>
      <c r="I57" s="24">
        <v>2.617</v>
      </c>
      <c r="J57" s="5" t="s">
        <v>65</v>
      </c>
      <c r="K57" s="2">
        <f t="shared" ref="K57:K58" si="424">M$2/M57</f>
        <v>64.466769706336933</v>
      </c>
      <c r="L57" s="2">
        <f t="shared" ref="L57:L58" si="425">M56/M57</f>
        <v>0.99845440494590421</v>
      </c>
      <c r="M57" s="13">
        <f t="shared" ref="M57:M58" si="426">SUM(O57:Q57)</f>
        <v>0.64700000000000002</v>
      </c>
      <c r="N57" s="6">
        <v>6.2E-2</v>
      </c>
      <c r="O57" s="23">
        <v>0.48</v>
      </c>
      <c r="P57" s="23">
        <v>0.14799999999999999</v>
      </c>
      <c r="Q57" s="23">
        <v>1.9E-2</v>
      </c>
      <c r="R57" s="24">
        <v>0.14299999999999999</v>
      </c>
      <c r="S57" s="5" t="s">
        <v>65</v>
      </c>
      <c r="T57" s="2">
        <f t="shared" ref="T57:T58" si="427">ROUND(B57/K57,3)</f>
        <v>0.78</v>
      </c>
      <c r="U57" s="2">
        <f t="shared" ref="U57:U58" si="428">ROUND(C57/L57,3)</f>
        <v>1.085</v>
      </c>
      <c r="V57" s="13">
        <f t="shared" ref="V57:V58" si="429">ROUND(D57/M57,3)</f>
        <v>15.459</v>
      </c>
      <c r="W57" s="6">
        <f t="shared" ref="W57:W58" si="430">ROUND(E57/N57,3)</f>
        <v>6.806</v>
      </c>
      <c r="X57" s="23">
        <f t="shared" ref="X57:X58" si="431">ROUND(F57/O57,3)</f>
        <v>13.717000000000001</v>
      </c>
      <c r="Y57" s="23">
        <f t="shared" ref="Y57:Y58" si="432">ROUND(G57/P57,3)</f>
        <v>21.5</v>
      </c>
      <c r="Z57" s="23">
        <f t="shared" ref="Z57:Z58" si="433">ROUND(H57/Q57,3)</f>
        <v>12.420999999999999</v>
      </c>
      <c r="AA57" s="24">
        <f t="shared" ref="AA57:AA58" si="434">ROUND(I57/R57,3)</f>
        <v>18.300999999999998</v>
      </c>
    </row>
    <row r="58" spans="1:28" ht="14.25" customHeight="1" x14ac:dyDescent="0.2">
      <c r="A58" s="36" t="s">
        <v>66</v>
      </c>
      <c r="B58" s="29">
        <f t="shared" si="421"/>
        <v>51.31924882629108</v>
      </c>
      <c r="C58" s="29">
        <f t="shared" si="422"/>
        <v>1.0208205756276791</v>
      </c>
      <c r="D58" s="30">
        <f t="shared" si="423"/>
        <v>9.798</v>
      </c>
      <c r="E58" s="25">
        <v>0.39100000000000001</v>
      </c>
      <c r="F58" s="26">
        <v>6.56</v>
      </c>
      <c r="G58" s="26">
        <v>3.0129999999999999</v>
      </c>
      <c r="H58" s="25">
        <v>0.22500000000000001</v>
      </c>
      <c r="I58" s="37">
        <v>2.4380000000000002</v>
      </c>
      <c r="J58" s="36" t="s">
        <v>66</v>
      </c>
      <c r="K58" s="29">
        <f t="shared" si="424"/>
        <v>65.171874999999986</v>
      </c>
      <c r="L58" s="29">
        <f t="shared" si="425"/>
        <v>1.0109375</v>
      </c>
      <c r="M58" s="30">
        <f t="shared" si="426"/>
        <v>0.64</v>
      </c>
      <c r="N58" s="25">
        <v>7.0999999999999994E-2</v>
      </c>
      <c r="O58" s="26">
        <v>0.47699999999999998</v>
      </c>
      <c r="P58" s="26">
        <v>0.14499999999999999</v>
      </c>
      <c r="Q58" s="25">
        <v>1.7999999999999999E-2</v>
      </c>
      <c r="R58" s="37">
        <v>0.14099999999999999</v>
      </c>
      <c r="S58" s="36" t="s">
        <v>66</v>
      </c>
      <c r="T58" s="29">
        <f t="shared" si="427"/>
        <v>0.78700000000000003</v>
      </c>
      <c r="U58" s="29">
        <f t="shared" si="428"/>
        <v>1.01</v>
      </c>
      <c r="V58" s="30">
        <f t="shared" si="429"/>
        <v>15.308999999999999</v>
      </c>
      <c r="W58" s="25">
        <f t="shared" si="430"/>
        <v>5.5069999999999997</v>
      </c>
      <c r="X58" s="26">
        <f t="shared" si="431"/>
        <v>13.753</v>
      </c>
      <c r="Y58" s="26">
        <f t="shared" si="432"/>
        <v>20.779</v>
      </c>
      <c r="Z58" s="25">
        <f t="shared" si="433"/>
        <v>12.5</v>
      </c>
      <c r="AA58" s="37">
        <f t="shared" si="434"/>
        <v>17.291</v>
      </c>
    </row>
    <row r="59" spans="1:28" ht="14.25" customHeight="1" x14ac:dyDescent="0.2">
      <c r="A59" s="5" t="s">
        <v>67</v>
      </c>
      <c r="B59" s="2">
        <f t="shared" ref="B59" si="435">D$2/D59</f>
        <v>56.326425450879363</v>
      </c>
      <c r="C59" s="2">
        <f t="shared" ref="C59" si="436">D58/D59</f>
        <v>1.0975691721743028</v>
      </c>
      <c r="D59" s="13">
        <f t="shared" ref="D59" si="437">SUM(F59:H59)</f>
        <v>8.9269999999999996</v>
      </c>
      <c r="E59" s="6">
        <v>0.39100000000000001</v>
      </c>
      <c r="F59" s="23">
        <v>6.0609999999999999</v>
      </c>
      <c r="G59" s="23">
        <v>2.6419999999999999</v>
      </c>
      <c r="H59" s="6">
        <v>0.224</v>
      </c>
      <c r="I59" s="24">
        <v>2.0760000000000001</v>
      </c>
      <c r="J59" s="5" t="s">
        <v>67</v>
      </c>
      <c r="K59" s="2">
        <f t="shared" ref="K59" si="438">M$2/M59</f>
        <v>68.942148760330568</v>
      </c>
      <c r="L59" s="2">
        <f t="shared" ref="L59" si="439">M58/M59</f>
        <v>1.0578512396694215</v>
      </c>
      <c r="M59" s="13">
        <f t="shared" ref="M59" si="440">SUM(O59:Q59)</f>
        <v>0.60499999999999998</v>
      </c>
      <c r="N59" s="6">
        <v>6.4000000000000001E-2</v>
      </c>
      <c r="O59" s="23">
        <v>0.45</v>
      </c>
      <c r="P59" s="23">
        <v>0.13700000000000001</v>
      </c>
      <c r="Q59" s="6">
        <v>1.7999999999999999E-2</v>
      </c>
      <c r="R59" s="24">
        <v>0.13300000000000001</v>
      </c>
      <c r="S59" s="5" t="s">
        <v>67</v>
      </c>
      <c r="T59" s="2">
        <f t="shared" ref="T59" si="441">ROUND(B59/K59,3)</f>
        <v>0.81699999999999995</v>
      </c>
      <c r="U59" s="2">
        <f t="shared" ref="U59" si="442">ROUND(C59/L59,3)</f>
        <v>1.038</v>
      </c>
      <c r="V59" s="13">
        <f t="shared" ref="V59" si="443">ROUND(D59/M59,3)</f>
        <v>14.755000000000001</v>
      </c>
      <c r="W59" s="6">
        <f t="shared" ref="W59" si="444">ROUND(E59/N59,3)</f>
        <v>6.109</v>
      </c>
      <c r="X59" s="23">
        <f t="shared" ref="X59" si="445">ROUND(F59/O59,3)</f>
        <v>13.468999999999999</v>
      </c>
      <c r="Y59" s="23">
        <f t="shared" ref="Y59" si="446">ROUND(G59/P59,3)</f>
        <v>19.285</v>
      </c>
      <c r="Z59" s="6">
        <f t="shared" ref="Z59" si="447">ROUND(H59/Q59,3)</f>
        <v>12.444000000000001</v>
      </c>
      <c r="AA59" s="24">
        <f t="shared" ref="AA59" si="448">ROUND(I59/R59,3)</f>
        <v>15.609</v>
      </c>
    </row>
    <row r="60" spans="1:28" s="22" customFormat="1" ht="14.25" customHeight="1" x14ac:dyDescent="0.2">
      <c r="A60" s="32" t="s">
        <v>68</v>
      </c>
      <c r="B60" s="14">
        <f t="shared" ref="B60" si="449">D$2/D60</f>
        <v>56.745965466651619</v>
      </c>
      <c r="C60" s="14">
        <f t="shared" ref="C60" si="450">D59/D60</f>
        <v>1.0074483692585485</v>
      </c>
      <c r="D60" s="17">
        <f t="shared" ref="D60" si="451">SUM(F60:H60)</f>
        <v>8.8610000000000007</v>
      </c>
      <c r="E60" s="22">
        <v>0.38500000000000001</v>
      </c>
      <c r="F60" s="22">
        <v>6.0330000000000004</v>
      </c>
      <c r="G60" s="22">
        <v>2.601</v>
      </c>
      <c r="H60" s="22">
        <v>0.22700000000000001</v>
      </c>
      <c r="I60" s="35">
        <v>2.0339999999999998</v>
      </c>
      <c r="J60" s="32" t="s">
        <v>68</v>
      </c>
      <c r="K60" s="14">
        <f t="shared" ref="K60" si="452">M$2/M60</f>
        <v>68.714991762767696</v>
      </c>
      <c r="L60" s="14">
        <f t="shared" ref="L60" si="453">M59/M60</f>
        <v>0.99670510708401971</v>
      </c>
      <c r="M60" s="17">
        <f t="shared" ref="M60" si="454">SUM(O60:Q60)</f>
        <v>0.60699999999999998</v>
      </c>
      <c r="N60" s="22">
        <v>7.0000000000000007E-2</v>
      </c>
      <c r="O60" s="22">
        <v>0.45300000000000001</v>
      </c>
      <c r="P60" s="22">
        <v>0.13600000000000001</v>
      </c>
      <c r="Q60" s="22">
        <v>1.7999999999999999E-2</v>
      </c>
      <c r="R60" s="35">
        <v>0.13300000000000001</v>
      </c>
      <c r="S60" s="32" t="s">
        <v>68</v>
      </c>
      <c r="T60" s="14">
        <f t="shared" ref="T60" si="455">ROUND(B60/K60,3)</f>
        <v>0.82599999999999996</v>
      </c>
      <c r="U60" s="14">
        <f t="shared" ref="U60" si="456">ROUND(C60/L60,3)</f>
        <v>1.0109999999999999</v>
      </c>
      <c r="V60" s="17">
        <f t="shared" ref="V60" si="457">ROUND(D60/M60,3)</f>
        <v>14.598000000000001</v>
      </c>
      <c r="W60" s="22">
        <f t="shared" ref="W60" si="458">ROUND(E60/N60,3)</f>
        <v>5.5</v>
      </c>
      <c r="X60" s="22">
        <f t="shared" ref="X60" si="459">ROUND(F60/O60,3)</f>
        <v>13.318</v>
      </c>
      <c r="Y60" s="22">
        <f t="shared" ref="Y60" si="460">ROUND(G60/P60,3)</f>
        <v>19.125</v>
      </c>
      <c r="Z60" s="22">
        <f t="shared" ref="Z60" si="461">ROUND(H60/Q60,3)</f>
        <v>12.611000000000001</v>
      </c>
      <c r="AA60" s="35">
        <f t="shared" ref="AA60" si="462">ROUND(I60/R60,3)</f>
        <v>15.292999999999999</v>
      </c>
      <c r="AB60" s="32"/>
    </row>
    <row r="61" spans="1:28" ht="14.25" customHeight="1" x14ac:dyDescent="0.2">
      <c r="A61" s="32" t="s">
        <v>69</v>
      </c>
      <c r="B61" s="14">
        <f t="shared" ref="B61" si="463">D$2/D61</f>
        <v>58.440957694095765</v>
      </c>
      <c r="C61" s="14">
        <f t="shared" ref="C61" si="464">D60/D61</f>
        <v>1.0298698279869827</v>
      </c>
      <c r="D61" s="17">
        <f t="shared" ref="D61" si="465">SUM(F61:H61)</f>
        <v>8.604000000000001</v>
      </c>
      <c r="E61" s="6">
        <v>0.40300000000000002</v>
      </c>
      <c r="F61" s="23">
        <v>5.8040000000000003</v>
      </c>
      <c r="G61" s="6">
        <v>2.5790000000000002</v>
      </c>
      <c r="H61" s="22">
        <v>0.221</v>
      </c>
      <c r="I61" s="28">
        <v>2.0070000000000001</v>
      </c>
      <c r="J61" s="32" t="s">
        <v>69</v>
      </c>
      <c r="K61" s="14">
        <f t="shared" ref="K61" si="466">M$2/M61</f>
        <v>68.942148760330568</v>
      </c>
      <c r="L61" s="14">
        <f t="shared" ref="L61" si="467">M60/M61</f>
        <v>1.0033057851239668</v>
      </c>
      <c r="M61" s="17">
        <f t="shared" ref="M61" si="468">SUM(O61:Q61)</f>
        <v>0.60499999999999998</v>
      </c>
      <c r="N61" s="6">
        <v>6.5000000000000002E-2</v>
      </c>
      <c r="O61" s="23">
        <v>0.45</v>
      </c>
      <c r="P61" s="6">
        <v>0.13700000000000001</v>
      </c>
      <c r="Q61" s="22">
        <v>1.7999999999999999E-2</v>
      </c>
      <c r="R61" s="28">
        <v>0.13200000000000001</v>
      </c>
      <c r="S61" s="32" t="s">
        <v>69</v>
      </c>
      <c r="T61" s="14">
        <f t="shared" ref="T61" si="469">ROUND(B61/K61,3)</f>
        <v>0.84799999999999998</v>
      </c>
      <c r="U61" s="14">
        <f t="shared" ref="U61" si="470">ROUND(C61/L61,3)</f>
        <v>1.026</v>
      </c>
      <c r="V61" s="17">
        <f t="shared" ref="V61" si="471">ROUND(D61/M61,3)</f>
        <v>14.221</v>
      </c>
      <c r="W61" s="6">
        <f t="shared" ref="W61" si="472">ROUND(E61/N61,3)</f>
        <v>6.2</v>
      </c>
      <c r="X61" s="23">
        <f t="shared" ref="X61" si="473">ROUND(F61/O61,3)</f>
        <v>12.898</v>
      </c>
      <c r="Y61" s="6">
        <f t="shared" ref="Y61" si="474">ROUND(G61/P61,3)</f>
        <v>18.824999999999999</v>
      </c>
      <c r="Z61" s="22">
        <f t="shared" ref="Z61" si="475">ROUND(H61/Q61,3)</f>
        <v>12.278</v>
      </c>
      <c r="AA61" s="28">
        <f t="shared" ref="AA61" si="476">ROUND(I61/R61,3)</f>
        <v>15.205</v>
      </c>
    </row>
    <row r="62" spans="1:28" ht="14.25" customHeight="1" x14ac:dyDescent="0.2">
      <c r="A62" s="32" t="s">
        <v>70</v>
      </c>
      <c r="B62" s="14">
        <f t="shared" ref="B62" si="477">D$2/D62</f>
        <v>59.169922334666978</v>
      </c>
      <c r="C62" s="14">
        <f t="shared" ref="C62" si="478">D61/D62</f>
        <v>1.0124735231819251</v>
      </c>
      <c r="D62" s="17">
        <f t="shared" ref="D62" si="479">SUM(F62:H62)</f>
        <v>8.4980000000000011</v>
      </c>
      <c r="E62" s="6">
        <v>0.39600000000000002</v>
      </c>
      <c r="F62" s="23">
        <v>5.702</v>
      </c>
      <c r="G62" s="6">
        <v>2.57</v>
      </c>
      <c r="H62" s="6">
        <v>0.22600000000000001</v>
      </c>
      <c r="I62" s="28">
        <v>2.0139999999999998</v>
      </c>
      <c r="J62" s="32" t="s">
        <v>70</v>
      </c>
      <c r="K62" s="14">
        <f t="shared" ref="K62" si="480">M$2/M62</f>
        <v>67.382875605815826</v>
      </c>
      <c r="L62" s="14">
        <f t="shared" ref="L62" si="481">M61/M62</f>
        <v>0.97738287560581583</v>
      </c>
      <c r="M62" s="17">
        <f t="shared" ref="M62" si="482">SUM(O62:Q62)</f>
        <v>0.61899999999999999</v>
      </c>
      <c r="N62" s="6">
        <v>6.4000000000000001E-2</v>
      </c>
      <c r="O62" s="23">
        <v>0.46500000000000002</v>
      </c>
      <c r="P62" s="6">
        <v>0.13600000000000001</v>
      </c>
      <c r="Q62" s="6">
        <v>1.7999999999999999E-2</v>
      </c>
      <c r="R62" s="28">
        <v>0.13100000000000001</v>
      </c>
      <c r="S62" s="32" t="s">
        <v>70</v>
      </c>
      <c r="T62" s="14">
        <f t="shared" ref="T62" si="483">ROUND(B62/K62,3)</f>
        <v>0.878</v>
      </c>
      <c r="U62" s="14">
        <f t="shared" ref="U62" si="484">ROUND(C62/L62,3)</f>
        <v>1.036</v>
      </c>
      <c r="V62" s="17">
        <f t="shared" ref="V62" si="485">ROUND(D62/M62,3)</f>
        <v>13.728999999999999</v>
      </c>
      <c r="W62" s="6">
        <f t="shared" ref="W62" si="486">ROUND(E62/N62,3)</f>
        <v>6.1879999999999997</v>
      </c>
      <c r="X62" s="23">
        <f t="shared" ref="X62" si="487">ROUND(F62/O62,3)</f>
        <v>12.262</v>
      </c>
      <c r="Y62" s="6">
        <f t="shared" ref="Y62" si="488">ROUND(G62/P62,3)</f>
        <v>18.896999999999998</v>
      </c>
      <c r="Z62" s="6">
        <f t="shared" ref="Z62" si="489">ROUND(H62/Q62,3)</f>
        <v>12.555999999999999</v>
      </c>
      <c r="AA62" s="28">
        <f t="shared" ref="AA62" si="490">ROUND(I62/R62,3)</f>
        <v>15.374000000000001</v>
      </c>
    </row>
    <row r="63" spans="1:28" ht="14.25" customHeight="1" x14ac:dyDescent="0.2">
      <c r="A63" s="32" t="s">
        <v>71</v>
      </c>
      <c r="B63" s="14">
        <f t="shared" ref="B63" si="491">D$2/D63</f>
        <v>58.32571627421413</v>
      </c>
      <c r="C63" s="14">
        <f t="shared" ref="C63" si="492">D62/D63</f>
        <v>0.98573251362950942</v>
      </c>
      <c r="D63" s="17">
        <f t="shared" ref="D63" si="493">SUM(F63:H63)</f>
        <v>8.6210000000000004</v>
      </c>
      <c r="E63" s="6">
        <v>0.39500000000000002</v>
      </c>
      <c r="F63" s="6">
        <v>5.798</v>
      </c>
      <c r="G63" s="6">
        <v>2.5979999999999999</v>
      </c>
      <c r="H63" s="6">
        <v>0.22500000000000001</v>
      </c>
      <c r="I63" s="28">
        <v>2.008</v>
      </c>
      <c r="J63" s="32" t="s">
        <v>71</v>
      </c>
      <c r="K63" s="14">
        <f t="shared" ref="K63" si="494">M$2/M63</f>
        <v>68.60197368421052</v>
      </c>
      <c r="L63" s="14">
        <f t="shared" ref="L63" si="495">M62/M63</f>
        <v>1.018092105263158</v>
      </c>
      <c r="M63" s="17">
        <f t="shared" ref="M63" si="496">SUM(O63:Q63)</f>
        <v>0.60799999999999998</v>
      </c>
      <c r="N63" s="6">
        <v>6.5000000000000002E-2</v>
      </c>
      <c r="O63" s="6">
        <v>0.45200000000000001</v>
      </c>
      <c r="P63" s="6">
        <v>0.13700000000000001</v>
      </c>
      <c r="Q63" s="6">
        <v>1.9E-2</v>
      </c>
      <c r="R63" s="28">
        <v>0.13200000000000001</v>
      </c>
      <c r="S63" s="32" t="s">
        <v>71</v>
      </c>
      <c r="T63" s="14">
        <f t="shared" ref="T63" si="497">ROUND(B63/K63,3)</f>
        <v>0.85</v>
      </c>
      <c r="U63" s="14">
        <f t="shared" ref="U63" si="498">ROUND(C63/L63,3)</f>
        <v>0.96799999999999997</v>
      </c>
      <c r="V63" s="17">
        <f t="shared" ref="V63" si="499">ROUND(D63/M63,3)</f>
        <v>14.179</v>
      </c>
      <c r="W63" s="6">
        <f t="shared" ref="W63" si="500">ROUND(E63/N63,3)</f>
        <v>6.077</v>
      </c>
      <c r="X63" s="6">
        <f t="shared" ref="X63" si="501">ROUND(F63/O63,3)</f>
        <v>12.827</v>
      </c>
      <c r="Y63" s="6">
        <f t="shared" ref="Y63" si="502">ROUND(G63/P63,3)</f>
        <v>18.963999999999999</v>
      </c>
      <c r="Z63" s="6">
        <f t="shared" ref="Z63" si="503">ROUND(H63/Q63,3)</f>
        <v>11.842000000000001</v>
      </c>
      <c r="AA63" s="28">
        <f t="shared" ref="AA63" si="504">ROUND(I63/R63,3)</f>
        <v>15.212</v>
      </c>
    </row>
    <row r="64" spans="1:28" ht="14.25" customHeight="1" x14ac:dyDescent="0.2">
      <c r="A64" s="5" t="s">
        <v>73</v>
      </c>
      <c r="B64" s="2">
        <f t="shared" ref="B64" si="505">D$2/D64</f>
        <v>65.557496740547592</v>
      </c>
      <c r="C64" s="2">
        <f t="shared" ref="C64" si="506">D63/D64</f>
        <v>1.1239895697522817</v>
      </c>
      <c r="D64" s="13">
        <f t="shared" ref="D64" si="507">SUM(F64:H64)</f>
        <v>7.67</v>
      </c>
      <c r="E64" s="6">
        <v>0.39300000000000002</v>
      </c>
      <c r="F64" s="23">
        <v>4.859</v>
      </c>
      <c r="G64" s="6">
        <v>2.5880000000000001</v>
      </c>
      <c r="H64" s="6">
        <v>0.223</v>
      </c>
      <c r="I64" s="28">
        <v>2.0059999999999998</v>
      </c>
      <c r="J64" s="5" t="s">
        <v>72</v>
      </c>
      <c r="K64" s="2">
        <f t="shared" ref="K64" si="508">M$2/M64</f>
        <v>77.962616822429894</v>
      </c>
      <c r="L64" s="2">
        <f t="shared" ref="L64" si="509">M63/M64</f>
        <v>1.136448598130841</v>
      </c>
      <c r="M64" s="13">
        <f t="shared" ref="M64" si="510">SUM(O64:Q64)</f>
        <v>0.53500000000000003</v>
      </c>
      <c r="N64" s="6">
        <v>6.4000000000000001E-2</v>
      </c>
      <c r="O64" s="23">
        <v>0.38200000000000001</v>
      </c>
      <c r="P64" s="6">
        <v>0.13500000000000001</v>
      </c>
      <c r="Q64" s="6">
        <v>1.7999999999999999E-2</v>
      </c>
      <c r="R64" s="28">
        <v>0.13100000000000001</v>
      </c>
      <c r="S64" s="5" t="s">
        <v>72</v>
      </c>
      <c r="T64" s="2">
        <f t="shared" ref="T64" si="511">ROUND(B64/K64,3)</f>
        <v>0.84099999999999997</v>
      </c>
      <c r="U64" s="2">
        <f t="shared" ref="U64" si="512">ROUND(C64/L64,3)</f>
        <v>0.98899999999999999</v>
      </c>
      <c r="V64" s="13">
        <f t="shared" ref="V64" si="513">ROUND(D64/M64,3)</f>
        <v>14.336</v>
      </c>
      <c r="W64" s="6">
        <f t="shared" ref="W64" si="514">ROUND(E64/N64,3)</f>
        <v>6.141</v>
      </c>
      <c r="X64" s="23">
        <f t="shared" ref="X64" si="515">ROUND(F64/O64,3)</f>
        <v>12.72</v>
      </c>
      <c r="Y64" s="6">
        <f t="shared" ref="Y64" si="516">ROUND(G64/P64,3)</f>
        <v>19.170000000000002</v>
      </c>
      <c r="Z64" s="6">
        <f t="shared" ref="Z64" si="517">ROUND(H64/Q64,3)</f>
        <v>12.388999999999999</v>
      </c>
      <c r="AA64" s="28">
        <f t="shared" ref="AA64" si="518">ROUND(I64/R64,3)</f>
        <v>15.313000000000001</v>
      </c>
    </row>
    <row r="65" spans="1:28" ht="14.25" customHeight="1" x14ac:dyDescent="0.2">
      <c r="A65" s="5" t="s">
        <v>74</v>
      </c>
      <c r="B65" s="2">
        <f t="shared" ref="B65" si="519">D$2/D65</f>
        <v>68.458270932607221</v>
      </c>
      <c r="C65" s="2">
        <f t="shared" ref="C65" si="520">D64/D65</f>
        <v>1.0442477876106195</v>
      </c>
      <c r="D65" s="13">
        <f t="shared" ref="D65" si="521">SUM(F65:H65)</f>
        <v>7.3449999999999998</v>
      </c>
      <c r="E65" s="6">
        <v>0.39300000000000002</v>
      </c>
      <c r="F65" s="23">
        <v>4.5289999999999999</v>
      </c>
      <c r="G65" s="6">
        <v>2.59</v>
      </c>
      <c r="H65" s="6">
        <v>0.22600000000000001</v>
      </c>
      <c r="I65" s="28">
        <v>2.0110000000000001</v>
      </c>
      <c r="J65" s="5" t="s">
        <v>74</v>
      </c>
      <c r="K65" s="2">
        <f t="shared" ref="K65" si="522">M$2/M65</f>
        <v>84.433198380566779</v>
      </c>
      <c r="L65" s="2">
        <f t="shared" ref="L65" si="523">M64/M65</f>
        <v>1.082995951417004</v>
      </c>
      <c r="M65" s="13">
        <f t="shared" ref="M65" si="524">SUM(O65:Q65)</f>
        <v>0.49400000000000005</v>
      </c>
      <c r="N65" s="6">
        <v>6.4000000000000001E-2</v>
      </c>
      <c r="O65" s="23">
        <v>0.34</v>
      </c>
      <c r="P65" s="6">
        <v>0.13500000000000001</v>
      </c>
      <c r="Q65" s="6">
        <v>1.9E-2</v>
      </c>
      <c r="R65" s="28">
        <v>0.13100000000000001</v>
      </c>
      <c r="S65" s="5" t="s">
        <v>74</v>
      </c>
      <c r="T65" s="2">
        <f t="shared" ref="T65" si="525">ROUND(B65/K65,3)</f>
        <v>0.81100000000000005</v>
      </c>
      <c r="U65" s="2">
        <f t="shared" ref="U65" si="526">ROUND(C65/L65,3)</f>
        <v>0.96399999999999997</v>
      </c>
      <c r="V65" s="13">
        <f t="shared" ref="V65" si="527">ROUND(D65/M65,3)</f>
        <v>14.868</v>
      </c>
      <c r="W65" s="6">
        <f t="shared" ref="W65" si="528">ROUND(E65/N65,3)</f>
        <v>6.141</v>
      </c>
      <c r="X65" s="23">
        <f t="shared" ref="X65" si="529">ROUND(F65/O65,3)</f>
        <v>13.321</v>
      </c>
      <c r="Y65" s="6">
        <f t="shared" ref="Y65" si="530">ROUND(G65/P65,3)</f>
        <v>19.184999999999999</v>
      </c>
      <c r="Z65" s="6">
        <f t="shared" ref="Z65" si="531">ROUND(H65/Q65,3)</f>
        <v>11.895</v>
      </c>
      <c r="AA65" s="28">
        <f t="shared" ref="AA65" si="532">ROUND(I65/R65,3)</f>
        <v>15.351000000000001</v>
      </c>
    </row>
    <row r="66" spans="1:28" ht="14.25" customHeight="1" x14ac:dyDescent="0.2">
      <c r="A66" s="5" t="s">
        <v>75</v>
      </c>
      <c r="B66" s="2">
        <f t="shared" ref="B66" si="533">D$2/D66</f>
        <v>83.986303657925504</v>
      </c>
      <c r="C66" s="2">
        <f t="shared" ref="C66" si="534">D65/D66</f>
        <v>1.2268247870385836</v>
      </c>
      <c r="D66" s="13">
        <f t="shared" ref="D66" si="535">SUM(F66:H66)</f>
        <v>5.9870000000000001</v>
      </c>
      <c r="E66" s="6">
        <v>0.39100000000000001</v>
      </c>
      <c r="F66" s="23">
        <v>3.177</v>
      </c>
      <c r="G66" s="6">
        <v>2.589</v>
      </c>
      <c r="H66" s="6">
        <v>0.221</v>
      </c>
      <c r="I66" s="28">
        <v>2.0110000000000001</v>
      </c>
      <c r="J66" s="5" t="s">
        <v>75</v>
      </c>
      <c r="K66" s="2">
        <f t="shared" ref="K66" si="536">M$2/M66</f>
        <v>90.086393088552896</v>
      </c>
      <c r="L66" s="2">
        <f t="shared" ref="L66" si="537">M65/M66</f>
        <v>1.0669546436285098</v>
      </c>
      <c r="M66" s="13">
        <f t="shared" ref="M66" si="538">SUM(O66:Q66)</f>
        <v>0.46300000000000002</v>
      </c>
      <c r="N66" s="6">
        <v>8.4000000000000005E-2</v>
      </c>
      <c r="O66" s="23">
        <v>0.309</v>
      </c>
      <c r="P66" s="6">
        <v>0.13600000000000001</v>
      </c>
      <c r="Q66" s="6">
        <v>1.7999999999999999E-2</v>
      </c>
      <c r="R66" s="28">
        <v>0.13100000000000001</v>
      </c>
      <c r="S66" s="5" t="s">
        <v>75</v>
      </c>
      <c r="T66" s="2">
        <f t="shared" ref="T66" si="539">ROUND(B66/K66,3)</f>
        <v>0.93200000000000005</v>
      </c>
      <c r="U66" s="2">
        <f t="shared" ref="U66" si="540">ROUND(C66/L66,3)</f>
        <v>1.1499999999999999</v>
      </c>
      <c r="V66" s="13">
        <f t="shared" ref="V66" si="541">ROUND(D66/M66,3)</f>
        <v>12.930999999999999</v>
      </c>
      <c r="W66" s="6">
        <f t="shared" ref="W66" si="542">ROUND(E66/N66,3)</f>
        <v>4.6550000000000002</v>
      </c>
      <c r="X66" s="23">
        <f t="shared" ref="X66" si="543">ROUND(F66/O66,3)</f>
        <v>10.282</v>
      </c>
      <c r="Y66" s="6">
        <f t="shared" ref="Y66" si="544">ROUND(G66/P66,3)</f>
        <v>19.036999999999999</v>
      </c>
      <c r="Z66" s="6">
        <f t="shared" ref="Z66" si="545">ROUND(H66/Q66,3)</f>
        <v>12.278</v>
      </c>
      <c r="AA66" s="28">
        <f t="shared" ref="AA66" si="546">ROUND(I66/R66,3)</f>
        <v>15.351000000000001</v>
      </c>
    </row>
    <row r="67" spans="1:28" ht="14.25" customHeight="1" x14ac:dyDescent="0.2">
      <c r="A67" s="5" t="s">
        <v>76</v>
      </c>
      <c r="B67" s="2">
        <f t="shared" ref="B67" si="547">D$2/D67</f>
        <v>106.57609156422214</v>
      </c>
      <c r="C67" s="2">
        <f t="shared" ref="C67" si="548">D66/D67</f>
        <v>1.2689699025010599</v>
      </c>
      <c r="D67" s="13">
        <f t="shared" ref="D67" si="549">SUM(F67:H67)</f>
        <v>4.718</v>
      </c>
      <c r="E67" s="6">
        <v>0.42199999999999999</v>
      </c>
      <c r="F67" s="6">
        <v>3.1669999999999998</v>
      </c>
      <c r="G67" s="23">
        <v>1.327</v>
      </c>
      <c r="H67" s="6">
        <v>0.224</v>
      </c>
      <c r="I67" s="24">
        <v>0.434</v>
      </c>
      <c r="J67" s="5" t="s">
        <v>76</v>
      </c>
      <c r="K67" s="2">
        <f t="shared" ref="K67" si="550">M$2/M67</f>
        <v>90.871459694989085</v>
      </c>
      <c r="L67" s="2">
        <f t="shared" ref="L67" si="551">M66/M67</f>
        <v>1.0087145969498912</v>
      </c>
      <c r="M67" s="13">
        <f t="shared" ref="M67" si="552">SUM(O67:Q67)</f>
        <v>0.45900000000000002</v>
      </c>
      <c r="N67" s="6">
        <v>7.9000000000000001E-2</v>
      </c>
      <c r="O67" s="6">
        <v>0.308</v>
      </c>
      <c r="P67" s="23">
        <v>0.13100000000000001</v>
      </c>
      <c r="Q67" s="6">
        <v>0.02</v>
      </c>
      <c r="R67" s="24">
        <v>7.0000000000000007E-2</v>
      </c>
      <c r="S67" s="5" t="s">
        <v>76</v>
      </c>
      <c r="T67" s="2">
        <f t="shared" ref="T67" si="553">ROUND(B67/K67,3)</f>
        <v>1.173</v>
      </c>
      <c r="U67" s="2">
        <f t="shared" ref="U67" si="554">ROUND(C67/L67,3)</f>
        <v>1.258</v>
      </c>
      <c r="V67" s="13">
        <f t="shared" ref="V67" si="555">ROUND(D67/M67,3)</f>
        <v>10.279</v>
      </c>
      <c r="W67" s="6">
        <f t="shared" ref="W67" si="556">ROUND(E67/N67,3)</f>
        <v>5.3419999999999996</v>
      </c>
      <c r="X67" s="6">
        <f t="shared" ref="X67" si="557">ROUND(F67/O67,3)</f>
        <v>10.282</v>
      </c>
      <c r="Y67" s="23">
        <f t="shared" ref="Y67" si="558">ROUND(G67/P67,3)</f>
        <v>10.130000000000001</v>
      </c>
      <c r="Z67" s="6">
        <f t="shared" ref="Z67" si="559">ROUND(H67/Q67,3)</f>
        <v>11.2</v>
      </c>
      <c r="AA67" s="24">
        <f t="shared" ref="AA67" si="560">ROUND(I67/R67,3)</f>
        <v>6.2</v>
      </c>
    </row>
    <row r="68" spans="1:28" s="22" customFormat="1" ht="14.25" customHeight="1" x14ac:dyDescent="0.2">
      <c r="A68" s="33" t="s">
        <v>77</v>
      </c>
      <c r="B68" s="8">
        <f t="shared" ref="B68" si="561">D$2/D68</f>
        <v>106.35067681895094</v>
      </c>
      <c r="C68" s="8">
        <f t="shared" ref="C68" si="562">D67/D68</f>
        <v>0.99788494077834189</v>
      </c>
      <c r="D68" s="9">
        <f t="shared" ref="D68" si="563">SUM(F68:H68)</f>
        <v>4.7279999999999998</v>
      </c>
      <c r="E68" s="34">
        <v>0.41099999999999998</v>
      </c>
      <c r="F68" s="34">
        <v>3.1880000000000002</v>
      </c>
      <c r="G68" s="34">
        <v>1.3280000000000001</v>
      </c>
      <c r="H68" s="26">
        <v>0.21199999999999999</v>
      </c>
      <c r="I68" s="31">
        <v>0.433</v>
      </c>
      <c r="J68" s="33" t="s">
        <v>77</v>
      </c>
      <c r="K68" s="8">
        <f t="shared" ref="K68" si="564">M$2/M68</f>
        <v>92.075055187637957</v>
      </c>
      <c r="L68" s="8">
        <f t="shared" ref="L68" si="565">M67/M68</f>
        <v>1.0132450331125828</v>
      </c>
      <c r="M68" s="9">
        <f t="shared" ref="M68" si="566">SUM(O68:Q68)</f>
        <v>0.45300000000000001</v>
      </c>
      <c r="N68" s="34">
        <v>6.5000000000000002E-2</v>
      </c>
      <c r="O68" s="34">
        <v>0.308</v>
      </c>
      <c r="P68" s="34">
        <v>0.13</v>
      </c>
      <c r="Q68" s="26">
        <v>1.4999999999999999E-2</v>
      </c>
      <c r="R68" s="31">
        <v>7.0000000000000007E-2</v>
      </c>
      <c r="S68" s="33" t="s">
        <v>77</v>
      </c>
      <c r="T68" s="8">
        <f t="shared" ref="T68" si="567">ROUND(B68/K68,3)</f>
        <v>1.155</v>
      </c>
      <c r="U68" s="8">
        <f t="shared" ref="U68" si="568">ROUND(C68/L68,3)</f>
        <v>0.98499999999999999</v>
      </c>
      <c r="V68" s="9">
        <f t="shared" ref="V68" si="569">ROUND(D68/M68,3)</f>
        <v>10.436999999999999</v>
      </c>
      <c r="W68" s="34">
        <f t="shared" ref="W68" si="570">ROUND(E68/N68,3)</f>
        <v>6.3230000000000004</v>
      </c>
      <c r="X68" s="34">
        <f t="shared" ref="X68" si="571">ROUND(F68/O68,3)</f>
        <v>10.351000000000001</v>
      </c>
      <c r="Y68" s="34">
        <f t="shared" ref="Y68" si="572">ROUND(G68/P68,3)</f>
        <v>10.215</v>
      </c>
      <c r="Z68" s="26">
        <f t="shared" ref="Z68" si="573">ROUND(H68/Q68,3)</f>
        <v>14.132999999999999</v>
      </c>
      <c r="AA68" s="31">
        <f t="shared" ref="AA68" si="574">ROUND(I68/R68,3)</f>
        <v>6.1859999999999999</v>
      </c>
      <c r="AB68" s="32"/>
    </row>
    <row r="69" spans="1:28" ht="14.25" customHeight="1" x14ac:dyDescent="0.2">
      <c r="A69" s="32" t="s">
        <v>78</v>
      </c>
      <c r="B69" s="2">
        <f t="shared" ref="B69" si="575">D$2/D69</f>
        <v>106.46326487402075</v>
      </c>
      <c r="C69" s="2">
        <f t="shared" ref="C69" si="576">D68/D69</f>
        <v>1.001058649163667</v>
      </c>
      <c r="D69" s="13">
        <f t="shared" ref="D69" si="577">SUM(F69:H69)</f>
        <v>4.7229999999999999</v>
      </c>
      <c r="E69" s="6">
        <v>0.39200000000000002</v>
      </c>
      <c r="F69" s="23">
        <v>3.1760000000000002</v>
      </c>
      <c r="G69" s="23">
        <v>1.3340000000000001</v>
      </c>
      <c r="H69" s="6">
        <v>0.21299999999999999</v>
      </c>
      <c r="I69" s="24">
        <v>0.432</v>
      </c>
      <c r="J69" s="32" t="s">
        <v>78</v>
      </c>
      <c r="K69" s="2">
        <f t="shared" ref="K69" si="578">M$2/M69</f>
        <v>116.83473389355741</v>
      </c>
      <c r="L69" s="2">
        <f t="shared" ref="L69" si="579">M68/M69</f>
        <v>1.2689075630252102</v>
      </c>
      <c r="M69" s="13">
        <f t="shared" ref="M69" si="580">SUM(O69:Q69)</f>
        <v>0.35699999999999998</v>
      </c>
      <c r="N69" s="6">
        <v>6.5000000000000002E-2</v>
      </c>
      <c r="O69" s="23">
        <v>0.249</v>
      </c>
      <c r="P69" s="23">
        <v>9.1999999999999998E-2</v>
      </c>
      <c r="Q69" s="6">
        <v>1.6E-2</v>
      </c>
      <c r="R69" s="24">
        <v>5.0999999999999997E-2</v>
      </c>
      <c r="S69" s="32" t="s">
        <v>78</v>
      </c>
      <c r="T69" s="2">
        <f t="shared" ref="T69" si="581">ROUND(B69/K69,3)</f>
        <v>0.91100000000000003</v>
      </c>
      <c r="U69" s="2">
        <f t="shared" ref="U69" si="582">ROUND(C69/L69,3)</f>
        <v>0.78900000000000003</v>
      </c>
      <c r="V69" s="13">
        <f t="shared" ref="V69" si="583">ROUND(D69/M69,3)</f>
        <v>13.23</v>
      </c>
      <c r="W69" s="6">
        <f t="shared" ref="W69" si="584">ROUND(E69/N69,3)</f>
        <v>6.0309999999999997</v>
      </c>
      <c r="X69" s="23">
        <f t="shared" ref="X69" si="585">ROUND(F69/O69,3)</f>
        <v>12.755000000000001</v>
      </c>
      <c r="Y69" s="23">
        <f t="shared" ref="Y69" si="586">ROUND(G69/P69,3)</f>
        <v>14.5</v>
      </c>
      <c r="Z69" s="6">
        <f t="shared" ref="Z69" si="587">ROUND(H69/Q69,3)</f>
        <v>13.313000000000001</v>
      </c>
      <c r="AA69" s="24">
        <f t="shared" ref="AA69" si="588">ROUND(I69/R69,3)</f>
        <v>8.4710000000000001</v>
      </c>
    </row>
    <row r="70" spans="1:28" s="22" customFormat="1" ht="14.25" customHeight="1" x14ac:dyDescent="0.2">
      <c r="A70" s="32" t="s">
        <v>79</v>
      </c>
      <c r="B70" s="14">
        <f t="shared" ref="B70" si="589">D$2/D70</f>
        <v>105.59134817303655</v>
      </c>
      <c r="C70" s="14">
        <f t="shared" ref="C70" si="590">D69/D70</f>
        <v>0.99181016379672415</v>
      </c>
      <c r="D70" s="17">
        <f t="shared" ref="D70" si="591">SUM(F70:H70)</f>
        <v>4.7619999999999996</v>
      </c>
      <c r="E70" s="22">
        <v>0.40500000000000003</v>
      </c>
      <c r="F70" s="22">
        <v>3.214</v>
      </c>
      <c r="G70" s="22">
        <v>1.349</v>
      </c>
      <c r="H70" s="22">
        <v>0.19900000000000001</v>
      </c>
      <c r="I70" s="35">
        <v>0.435</v>
      </c>
      <c r="J70" s="32" t="s">
        <v>79</v>
      </c>
      <c r="K70" s="14">
        <f t="shared" ref="K70" si="592">M$2/M70</f>
        <v>117.82485875706213</v>
      </c>
      <c r="L70" s="14">
        <f t="shared" ref="L70" si="593">M69/M70</f>
        <v>1.0084745762711864</v>
      </c>
      <c r="M70" s="17">
        <f t="shared" ref="M70" si="594">SUM(O70:Q70)</f>
        <v>0.35399999999999998</v>
      </c>
      <c r="N70" s="22">
        <v>7.1999999999999995E-2</v>
      </c>
      <c r="O70" s="22">
        <v>0.24399999999999999</v>
      </c>
      <c r="P70" s="22">
        <v>9.1999999999999998E-2</v>
      </c>
      <c r="Q70" s="22">
        <v>1.7999999999999999E-2</v>
      </c>
      <c r="R70" s="35">
        <v>5.0999999999999997E-2</v>
      </c>
      <c r="S70" s="32" t="s">
        <v>79</v>
      </c>
      <c r="T70" s="14">
        <f t="shared" ref="T70" si="595">ROUND(B70/K70,3)</f>
        <v>0.89600000000000002</v>
      </c>
      <c r="U70" s="14">
        <f t="shared" ref="U70" si="596">ROUND(C70/L70,3)</f>
        <v>0.98299999999999998</v>
      </c>
      <c r="V70" s="17">
        <f t="shared" ref="V70" si="597">ROUND(D70/M70,3)</f>
        <v>13.452</v>
      </c>
      <c r="W70" s="22">
        <f t="shared" ref="W70" si="598">ROUND(E70/N70,3)</f>
        <v>5.625</v>
      </c>
      <c r="X70" s="22">
        <f t="shared" ref="X70" si="599">ROUND(F70/O70,3)</f>
        <v>13.172000000000001</v>
      </c>
      <c r="Y70" s="22">
        <f t="shared" ref="Y70" si="600">ROUND(G70/P70,3)</f>
        <v>14.663</v>
      </c>
      <c r="Z70" s="22">
        <f t="shared" ref="Z70" si="601">ROUND(H70/Q70,3)</f>
        <v>11.055999999999999</v>
      </c>
      <c r="AA70" s="35">
        <f t="shared" ref="AA70" si="602">ROUND(I70/R70,3)</f>
        <v>8.5289999999999999</v>
      </c>
      <c r="AB70" s="32"/>
    </row>
    <row r="71" spans="1:28" ht="14.25" customHeight="1" x14ac:dyDescent="0.2">
      <c r="A71" s="32" t="s">
        <v>80</v>
      </c>
      <c r="B71" s="2">
        <f t="shared" ref="B71" si="603">D$2/D71</f>
        <v>117.20885780885779</v>
      </c>
      <c r="C71" s="2">
        <f t="shared" ref="C71" si="604">D70/D71</f>
        <v>1.1100233100233097</v>
      </c>
      <c r="D71" s="13">
        <f t="shared" ref="D71" si="605">SUM(F71:H71)</f>
        <v>4.2900000000000009</v>
      </c>
      <c r="E71" s="6">
        <v>0.38800000000000001</v>
      </c>
      <c r="F71" s="23">
        <v>2.7480000000000002</v>
      </c>
      <c r="G71" s="6">
        <v>1.3280000000000001</v>
      </c>
      <c r="H71" s="6">
        <v>0.214</v>
      </c>
      <c r="I71" s="28">
        <v>0.432</v>
      </c>
      <c r="J71" s="32" t="s">
        <v>80</v>
      </c>
      <c r="K71" s="2">
        <f t="shared" ref="K71" si="606">M$2/M71</f>
        <v>127.16463414634144</v>
      </c>
      <c r="L71" s="2">
        <f t="shared" ref="L71" si="607">M70/M71</f>
        <v>1.0792682926829267</v>
      </c>
      <c r="M71" s="13">
        <f t="shared" ref="M71" si="608">SUM(O71:Q71)</f>
        <v>0.32800000000000001</v>
      </c>
      <c r="N71" s="6">
        <v>7.8E-2</v>
      </c>
      <c r="O71" s="23">
        <v>0.222</v>
      </c>
      <c r="P71" s="6">
        <v>8.6999999999999994E-2</v>
      </c>
      <c r="Q71" s="6">
        <v>1.9E-2</v>
      </c>
      <c r="R71" s="28">
        <v>4.9000000000000002E-2</v>
      </c>
      <c r="S71" s="32" t="s">
        <v>80</v>
      </c>
      <c r="T71" s="2">
        <f t="shared" ref="T71" si="609">ROUND(B71/K71,3)</f>
        <v>0.92200000000000004</v>
      </c>
      <c r="U71" s="2">
        <f t="shared" ref="U71" si="610">ROUND(C71/L71,3)</f>
        <v>1.028</v>
      </c>
      <c r="V71" s="13">
        <f t="shared" ref="V71" si="611">ROUND(D71/M71,3)</f>
        <v>13.079000000000001</v>
      </c>
      <c r="W71" s="6">
        <f t="shared" ref="W71" si="612">ROUND(E71/N71,3)</f>
        <v>4.9740000000000002</v>
      </c>
      <c r="X71" s="23">
        <f t="shared" ref="X71" si="613">ROUND(F71/O71,3)</f>
        <v>12.378</v>
      </c>
      <c r="Y71" s="6">
        <f t="shared" ref="Y71" si="614">ROUND(G71/P71,3)</f>
        <v>15.263999999999999</v>
      </c>
      <c r="Z71" s="6">
        <f t="shared" ref="Z71" si="615">ROUND(H71/Q71,3)</f>
        <v>11.263</v>
      </c>
      <c r="AA71" s="28">
        <f t="shared" ref="AA71" si="616">ROUND(I71/R71,3)</f>
        <v>8.8160000000000007</v>
      </c>
    </row>
    <row r="72" spans="1:28" ht="14.25" customHeight="1" x14ac:dyDescent="0.2">
      <c r="A72" s="32" t="s">
        <v>81</v>
      </c>
      <c r="B72" s="2">
        <f t="shared" ref="B72" si="617">D$2/D72</f>
        <v>123.30210887690043</v>
      </c>
      <c r="C72" s="2">
        <f t="shared" ref="C72" si="618">D71/D72</f>
        <v>1.0519862677783229</v>
      </c>
      <c r="D72" s="13">
        <f t="shared" ref="D72" si="619">SUM(F72:H72)</f>
        <v>4.0780000000000003</v>
      </c>
      <c r="E72" s="6">
        <v>0.38900000000000001</v>
      </c>
      <c r="F72" s="6">
        <v>2.7429999999999999</v>
      </c>
      <c r="G72" s="23">
        <v>1.119</v>
      </c>
      <c r="H72" s="6">
        <v>0.216</v>
      </c>
      <c r="I72" s="24">
        <v>0.35899999999999999</v>
      </c>
      <c r="J72" s="32" t="s">
        <v>81</v>
      </c>
      <c r="K72" s="2">
        <f t="shared" ref="K72" si="620">M$2/M72</f>
        <v>133.25878594249198</v>
      </c>
      <c r="L72" s="2">
        <f t="shared" ref="L72" si="621">M71/M72</f>
        <v>1.0479233226837061</v>
      </c>
      <c r="M72" s="13">
        <f t="shared" ref="M72" si="622">SUM(O72:Q72)</f>
        <v>0.313</v>
      </c>
      <c r="N72" s="6">
        <v>6.8000000000000005E-2</v>
      </c>
      <c r="O72" s="6">
        <v>0.222</v>
      </c>
      <c r="P72" s="23">
        <v>7.4999999999999997E-2</v>
      </c>
      <c r="Q72" s="6">
        <v>1.6E-2</v>
      </c>
      <c r="R72" s="24">
        <v>4.9000000000000002E-2</v>
      </c>
      <c r="S72" s="32" t="s">
        <v>81</v>
      </c>
      <c r="T72" s="2">
        <f t="shared" ref="T72" si="623">ROUND(B72/K72,3)</f>
        <v>0.92500000000000004</v>
      </c>
      <c r="U72" s="2">
        <f t="shared" ref="U72" si="624">ROUND(C72/L72,3)</f>
        <v>1.004</v>
      </c>
      <c r="V72" s="13">
        <f t="shared" ref="V72" si="625">ROUND(D72/M72,3)</f>
        <v>13.029</v>
      </c>
      <c r="W72" s="6">
        <f t="shared" ref="W72" si="626">ROUND(E72/N72,3)</f>
        <v>5.7210000000000001</v>
      </c>
      <c r="X72" s="6">
        <f t="shared" ref="X72" si="627">ROUND(F72/O72,3)</f>
        <v>12.356</v>
      </c>
      <c r="Y72" s="23">
        <f t="shared" ref="Y72" si="628">ROUND(G72/P72,3)</f>
        <v>14.92</v>
      </c>
      <c r="Z72" s="6">
        <f t="shared" ref="Z72" si="629">ROUND(H72/Q72,3)</f>
        <v>13.5</v>
      </c>
      <c r="AA72" s="24">
        <f t="shared" ref="AA72" si="630">ROUND(I72/R72,3)</f>
        <v>7.327</v>
      </c>
    </row>
    <row r="73" spans="1:28" s="22" customFormat="1" ht="14.25" customHeight="1" x14ac:dyDescent="0.2">
      <c r="A73" s="32" t="s">
        <v>82</v>
      </c>
      <c r="B73" s="14">
        <f t="shared" ref="B73" si="631">D$2/D73</f>
        <v>123.78778926637125</v>
      </c>
      <c r="C73" s="14">
        <f t="shared" ref="C73" si="632">D72/D73</f>
        <v>1.0039389463318562</v>
      </c>
      <c r="D73" s="17">
        <f t="shared" ref="D73" si="633">SUM(F73:H73)</f>
        <v>4.0620000000000003</v>
      </c>
      <c r="E73" s="22">
        <v>0.438</v>
      </c>
      <c r="F73" s="22">
        <v>2.7250000000000001</v>
      </c>
      <c r="G73" s="22">
        <v>1.1220000000000001</v>
      </c>
      <c r="H73" s="22">
        <v>0.215</v>
      </c>
      <c r="I73" s="35">
        <v>0.36</v>
      </c>
      <c r="J73" s="32" t="s">
        <v>82</v>
      </c>
      <c r="K73" s="14">
        <f t="shared" ref="K73" si="634">M$2/M73</f>
        <v>131.99367088607593</v>
      </c>
      <c r="L73" s="14">
        <f t="shared" ref="L73" si="635">M72/M73</f>
        <v>0.990506329113924</v>
      </c>
      <c r="M73" s="17">
        <f t="shared" ref="M73" si="636">SUM(O73:Q73)</f>
        <v>0.316</v>
      </c>
      <c r="N73" s="22">
        <v>7.1999999999999995E-2</v>
      </c>
      <c r="O73" s="22">
        <v>0.224</v>
      </c>
      <c r="P73" s="22">
        <v>7.5999999999999998E-2</v>
      </c>
      <c r="Q73" s="22">
        <v>1.6E-2</v>
      </c>
      <c r="R73" s="35">
        <v>4.9000000000000002E-2</v>
      </c>
      <c r="S73" s="32" t="s">
        <v>82</v>
      </c>
      <c r="T73" s="14">
        <f t="shared" ref="T73" si="637">ROUND(B73/K73,3)</f>
        <v>0.93799999999999994</v>
      </c>
      <c r="U73" s="14">
        <f t="shared" ref="U73" si="638">ROUND(C73/L73,3)</f>
        <v>1.014</v>
      </c>
      <c r="V73" s="17">
        <f t="shared" ref="V73" si="639">ROUND(D73/M73,3)</f>
        <v>12.853999999999999</v>
      </c>
      <c r="W73" s="22">
        <f t="shared" ref="W73" si="640">ROUND(E73/N73,3)</f>
        <v>6.0830000000000002</v>
      </c>
      <c r="X73" s="22">
        <f t="shared" ref="X73" si="641">ROUND(F73/O73,3)</f>
        <v>12.164999999999999</v>
      </c>
      <c r="Y73" s="22">
        <f t="shared" ref="Y73" si="642">ROUND(G73/P73,3)</f>
        <v>14.763</v>
      </c>
      <c r="Z73" s="22">
        <f t="shared" ref="Z73" si="643">ROUND(H73/Q73,3)</f>
        <v>13.438000000000001</v>
      </c>
      <c r="AA73" s="35">
        <f t="shared" ref="AA73" si="644">ROUND(I73/R73,3)</f>
        <v>7.3470000000000004</v>
      </c>
      <c r="AB73" s="32"/>
    </row>
    <row r="74" spans="1:28" ht="14.25" customHeight="1" x14ac:dyDescent="0.2">
      <c r="A74" s="32" t="s">
        <v>83</v>
      </c>
      <c r="B74" s="14">
        <f t="shared" ref="B74" si="645">D$2/D74</f>
        <v>123.18128368446841</v>
      </c>
      <c r="C74" s="14">
        <f t="shared" ref="C74" si="646">D73/D74</f>
        <v>0.99510044096031369</v>
      </c>
      <c r="D74" s="17">
        <f t="shared" ref="D74" si="647">SUM(F74:H74)</f>
        <v>4.0819999999999999</v>
      </c>
      <c r="E74" s="6">
        <v>0.4</v>
      </c>
      <c r="F74" s="6">
        <v>2.7429999999999999</v>
      </c>
      <c r="G74" s="6">
        <v>1.1220000000000001</v>
      </c>
      <c r="H74" s="6">
        <v>0.217</v>
      </c>
      <c r="I74" s="28">
        <v>0.36</v>
      </c>
      <c r="J74" s="32" t="s">
        <v>83</v>
      </c>
      <c r="K74" s="14">
        <f t="shared" ref="K74:K76" si="648">M$2/M74</f>
        <v>134.98381877022652</v>
      </c>
      <c r="L74" s="14">
        <f t="shared" ref="L74:L76" si="649">M73/M74</f>
        <v>1.022653721682848</v>
      </c>
      <c r="M74" s="17">
        <f t="shared" ref="M74:M76" si="650">SUM(O74:Q74)</f>
        <v>0.309</v>
      </c>
      <c r="N74" s="6">
        <v>6.3E-2</v>
      </c>
      <c r="O74" s="6">
        <v>0.215</v>
      </c>
      <c r="P74" s="6">
        <v>7.5999999999999998E-2</v>
      </c>
      <c r="Q74" s="6">
        <v>1.7999999999999999E-2</v>
      </c>
      <c r="R74" s="28">
        <v>4.9000000000000002E-2</v>
      </c>
      <c r="S74" s="32" t="s">
        <v>83</v>
      </c>
      <c r="T74" s="14">
        <f t="shared" ref="T74" si="651">ROUND(B74/K74,3)</f>
        <v>0.91300000000000003</v>
      </c>
      <c r="U74" s="14">
        <f t="shared" ref="U74" si="652">ROUND(C74/L74,3)</f>
        <v>0.97299999999999998</v>
      </c>
      <c r="V74" s="17">
        <f t="shared" ref="V74" si="653">ROUND(D74/M74,3)</f>
        <v>13.21</v>
      </c>
      <c r="W74" s="6">
        <f t="shared" ref="W74" si="654">ROUND(E74/N74,3)</f>
        <v>6.3490000000000002</v>
      </c>
      <c r="X74" s="6">
        <f t="shared" ref="X74" si="655">ROUND(F74/O74,3)</f>
        <v>12.757999999999999</v>
      </c>
      <c r="Y74" s="6">
        <f t="shared" ref="Y74" si="656">ROUND(G74/P74,3)</f>
        <v>14.763</v>
      </c>
      <c r="Z74" s="6">
        <f t="shared" ref="Z74" si="657">ROUND(H74/Q74,3)</f>
        <v>12.055999999999999</v>
      </c>
      <c r="AA74" s="28">
        <f t="shared" ref="AA74" si="658">ROUND(I74/R74,3)</f>
        <v>7.3470000000000004</v>
      </c>
    </row>
    <row r="75" spans="1:28" s="39" customFormat="1" ht="14.25" customHeight="1" x14ac:dyDescent="0.2">
      <c r="A75" s="32" t="s">
        <v>84</v>
      </c>
      <c r="B75" s="2">
        <f t="shared" ref="B75" si="659">D$2/D75</f>
        <v>136.63750000000002</v>
      </c>
      <c r="C75" s="2">
        <f t="shared" ref="C75" si="660">D74/D75</f>
        <v>1.1092391304347826</v>
      </c>
      <c r="D75" s="13">
        <f t="shared" ref="D75" si="661">SUM(F75:H75)</f>
        <v>3.6799999999999997</v>
      </c>
      <c r="E75" s="23">
        <v>0.375</v>
      </c>
      <c r="F75" s="23">
        <v>2.6629999999999998</v>
      </c>
      <c r="G75" s="23">
        <v>0.91100000000000003</v>
      </c>
      <c r="H75" s="23">
        <v>0.106</v>
      </c>
      <c r="I75" s="24">
        <v>0.20699999999999999</v>
      </c>
      <c r="J75" s="32" t="s">
        <v>84</v>
      </c>
      <c r="K75" s="2">
        <f t="shared" si="648"/>
        <v>139.49832775919728</v>
      </c>
      <c r="L75" s="2">
        <f t="shared" si="649"/>
        <v>1.0334448160535115</v>
      </c>
      <c r="M75" s="13">
        <f t="shared" si="650"/>
        <v>0.29900000000000004</v>
      </c>
      <c r="N75" s="23">
        <v>6.0999999999999999E-2</v>
      </c>
      <c r="O75" s="23">
        <v>0.221</v>
      </c>
      <c r="P75" s="23">
        <v>6.2E-2</v>
      </c>
      <c r="Q75" s="23">
        <v>1.6E-2</v>
      </c>
      <c r="R75" s="24">
        <v>4.3999999999999997E-2</v>
      </c>
      <c r="S75" s="32" t="s">
        <v>84</v>
      </c>
      <c r="T75" s="2">
        <f t="shared" ref="T75" si="662">ROUND(B75/K75,3)</f>
        <v>0.97899999999999998</v>
      </c>
      <c r="U75" s="2">
        <f t="shared" ref="U75" si="663">ROUND(C75/L75,3)</f>
        <v>1.073</v>
      </c>
      <c r="V75" s="13">
        <f t="shared" ref="V75" si="664">ROUND(D75/M75,3)</f>
        <v>12.308</v>
      </c>
      <c r="W75" s="23">
        <f t="shared" ref="W75" si="665">ROUND(E75/N75,3)</f>
        <v>6.1479999999999997</v>
      </c>
      <c r="X75" s="23">
        <f t="shared" ref="X75" si="666">ROUND(F75/O75,3)</f>
        <v>12.05</v>
      </c>
      <c r="Y75" s="23">
        <f t="shared" ref="Y75" si="667">ROUND(G75/P75,3)</f>
        <v>14.694000000000001</v>
      </c>
      <c r="Z75" s="23">
        <f t="shared" ref="Z75" si="668">ROUND(H75/Q75,3)</f>
        <v>6.625</v>
      </c>
      <c r="AA75" s="24">
        <f t="shared" ref="AA75" si="669">ROUND(I75/R75,3)</f>
        <v>4.7050000000000001</v>
      </c>
      <c r="AB75" s="38"/>
    </row>
    <row r="76" spans="1:28" s="22" customFormat="1" ht="14.25" customHeight="1" x14ac:dyDescent="0.2">
      <c r="A76" s="32" t="s">
        <v>85</v>
      </c>
      <c r="B76" s="14">
        <f t="shared" ref="B76" si="670">D$2/D76</f>
        <v>138.71062068965517</v>
      </c>
      <c r="C76" s="14">
        <f t="shared" ref="C76" si="671">D75/D76</f>
        <v>1.0151724137931033</v>
      </c>
      <c r="D76" s="17">
        <f t="shared" ref="D76" si="672">SUM(F76:H76)</f>
        <v>3.6250000000000004</v>
      </c>
      <c r="E76" s="22">
        <v>0.37</v>
      </c>
      <c r="F76" s="22">
        <v>2.6240000000000001</v>
      </c>
      <c r="G76" s="22">
        <v>0.90600000000000003</v>
      </c>
      <c r="H76" s="22">
        <v>9.5000000000000001E-2</v>
      </c>
      <c r="I76" s="35">
        <v>0.2</v>
      </c>
      <c r="J76" s="32" t="s">
        <v>85</v>
      </c>
      <c r="K76" s="14">
        <f t="shared" si="648"/>
        <v>140.43771043771039</v>
      </c>
      <c r="L76" s="14">
        <f t="shared" si="649"/>
        <v>1.0067340067340067</v>
      </c>
      <c r="M76" s="17">
        <f t="shared" si="650"/>
        <v>0.29700000000000004</v>
      </c>
      <c r="N76" s="22">
        <v>5.8999999999999997E-2</v>
      </c>
      <c r="O76" s="22">
        <v>0.218</v>
      </c>
      <c r="P76" s="22">
        <v>6.3E-2</v>
      </c>
      <c r="Q76" s="22">
        <v>1.6E-2</v>
      </c>
      <c r="R76" s="35">
        <v>4.4999999999999998E-2</v>
      </c>
      <c r="S76" s="32" t="s">
        <v>85</v>
      </c>
      <c r="T76" s="14">
        <f t="shared" ref="T76:T78" si="673">ROUND(B76/K76,3)</f>
        <v>0.98799999999999999</v>
      </c>
      <c r="U76" s="14">
        <f t="shared" ref="U76:U78" si="674">ROUND(C76/L76,3)</f>
        <v>1.008</v>
      </c>
      <c r="V76" s="17">
        <f t="shared" ref="V76:V78" si="675">ROUND(D76/M76,3)</f>
        <v>12.205</v>
      </c>
      <c r="W76" s="22">
        <f t="shared" ref="W76:W78" si="676">ROUND(E76/N76,3)</f>
        <v>6.2709999999999999</v>
      </c>
      <c r="X76" s="22">
        <f t="shared" ref="X76:X78" si="677">ROUND(F76/O76,3)</f>
        <v>12.037000000000001</v>
      </c>
      <c r="Y76" s="22">
        <f t="shared" ref="Y76:Y78" si="678">ROUND(G76/P76,3)</f>
        <v>14.381</v>
      </c>
      <c r="Z76" s="22">
        <f t="shared" ref="Z76:Z78" si="679">ROUND(H76/Q76,3)</f>
        <v>5.9379999999999997</v>
      </c>
      <c r="AA76" s="35">
        <f t="shared" ref="AA76:AA78" si="680">ROUND(I76/R76,3)</f>
        <v>4.444</v>
      </c>
      <c r="AB76" s="32"/>
    </row>
    <row r="77" spans="1:28" ht="14.25" customHeight="1" x14ac:dyDescent="0.2">
      <c r="A77" s="32" t="s">
        <v>86</v>
      </c>
      <c r="B77" s="2">
        <f t="shared" ref="B77:B78" si="681">D$2/D77</f>
        <v>149.16226638979532</v>
      </c>
      <c r="C77" s="2">
        <f t="shared" ref="C77:C78" si="682">D76/D77</f>
        <v>1.0753485612577871</v>
      </c>
      <c r="D77" s="13">
        <f t="shared" ref="D77:D78" si="683">SUM(F77:H77)</f>
        <v>3.371</v>
      </c>
      <c r="E77" s="6">
        <v>0.49199999999999999</v>
      </c>
      <c r="F77" s="6">
        <v>2.653</v>
      </c>
      <c r="G77" s="23">
        <v>0.60399999999999998</v>
      </c>
      <c r="H77" s="6">
        <v>0.114</v>
      </c>
      <c r="I77" s="28">
        <v>0.20100000000000001</v>
      </c>
      <c r="J77" s="32" t="s">
        <v>86</v>
      </c>
      <c r="K77" s="2">
        <f t="shared" ref="K77:K78" si="684">M$2/M77</f>
        <v>141.38983050847455</v>
      </c>
      <c r="L77" s="2">
        <f t="shared" ref="L77:L78" si="685">M76/M77</f>
        <v>1.0067796610169493</v>
      </c>
      <c r="M77" s="13">
        <f t="shared" ref="M77:M80" si="686">SUM(O77:Q77)</f>
        <v>0.29500000000000004</v>
      </c>
      <c r="N77" s="6">
        <v>6.4000000000000001E-2</v>
      </c>
      <c r="O77" s="6">
        <v>0.219</v>
      </c>
      <c r="P77" s="23">
        <v>5.8000000000000003E-2</v>
      </c>
      <c r="Q77" s="6">
        <v>1.7999999999999999E-2</v>
      </c>
      <c r="R77" s="28">
        <v>3.9E-2</v>
      </c>
      <c r="S77" s="32" t="s">
        <v>86</v>
      </c>
      <c r="T77" s="2">
        <f t="shared" si="673"/>
        <v>1.0549999999999999</v>
      </c>
      <c r="U77" s="2">
        <f t="shared" si="674"/>
        <v>1.0680000000000001</v>
      </c>
      <c r="V77" s="13">
        <f t="shared" si="675"/>
        <v>11.427</v>
      </c>
      <c r="W77" s="6">
        <f t="shared" si="676"/>
        <v>7.6879999999999997</v>
      </c>
      <c r="X77" s="6">
        <f t="shared" si="677"/>
        <v>12.114000000000001</v>
      </c>
      <c r="Y77" s="23">
        <f t="shared" si="678"/>
        <v>10.414</v>
      </c>
      <c r="Z77" s="6">
        <f t="shared" si="679"/>
        <v>6.3330000000000002</v>
      </c>
      <c r="AA77" s="28">
        <f t="shared" si="680"/>
        <v>5.1539999999999999</v>
      </c>
    </row>
    <row r="78" spans="1:28" ht="14.25" customHeight="1" x14ac:dyDescent="0.2">
      <c r="A78" s="32" t="s">
        <v>87</v>
      </c>
      <c r="B78" s="2">
        <f t="shared" si="681"/>
        <v>151.49924676107261</v>
      </c>
      <c r="C78" s="2">
        <f t="shared" si="682"/>
        <v>1.0156673696896656</v>
      </c>
      <c r="D78" s="13">
        <f t="shared" si="683"/>
        <v>3.319</v>
      </c>
      <c r="E78" s="6">
        <v>0.38</v>
      </c>
      <c r="F78" s="6">
        <v>2.6190000000000002</v>
      </c>
      <c r="G78" s="6">
        <v>0.60199999999999998</v>
      </c>
      <c r="H78" s="23">
        <v>9.8000000000000004E-2</v>
      </c>
      <c r="I78" s="24">
        <v>0.2</v>
      </c>
      <c r="J78" s="32" t="s">
        <v>87</v>
      </c>
      <c r="K78" s="2">
        <f t="shared" si="684"/>
        <v>145.8391608391608</v>
      </c>
      <c r="L78" s="2">
        <f t="shared" si="685"/>
        <v>1.0314685314685315</v>
      </c>
      <c r="M78" s="13">
        <f t="shared" si="686"/>
        <v>0.28600000000000003</v>
      </c>
      <c r="N78" s="6">
        <v>5.8999999999999997E-2</v>
      </c>
      <c r="O78" s="6">
        <v>0.218</v>
      </c>
      <c r="P78" s="6">
        <v>5.6000000000000001E-2</v>
      </c>
      <c r="Q78" s="23">
        <v>1.2E-2</v>
      </c>
      <c r="R78" s="24">
        <v>3.7999999999999999E-2</v>
      </c>
      <c r="S78" s="32" t="s">
        <v>87</v>
      </c>
      <c r="T78" s="2">
        <f t="shared" si="673"/>
        <v>1.0389999999999999</v>
      </c>
      <c r="U78" s="2">
        <f t="shared" si="674"/>
        <v>0.98499999999999999</v>
      </c>
      <c r="V78" s="13">
        <f t="shared" si="675"/>
        <v>11.605</v>
      </c>
      <c r="W78" s="6">
        <f t="shared" si="676"/>
        <v>6.4409999999999998</v>
      </c>
      <c r="X78" s="6">
        <f t="shared" si="677"/>
        <v>12.013999999999999</v>
      </c>
      <c r="Y78" s="6">
        <f t="shared" si="678"/>
        <v>10.75</v>
      </c>
      <c r="Z78" s="23">
        <f t="shared" si="679"/>
        <v>8.1669999999999998</v>
      </c>
      <c r="AA78" s="24">
        <f t="shared" si="680"/>
        <v>5.2629999999999999</v>
      </c>
    </row>
    <row r="79" spans="1:28" ht="14.25" customHeight="1" x14ac:dyDescent="0.2">
      <c r="A79" s="33" t="s">
        <v>88</v>
      </c>
      <c r="B79" s="29">
        <f t="shared" ref="B79" si="687">D$2/D79</f>
        <v>152.00302297460703</v>
      </c>
      <c r="C79" s="29">
        <f t="shared" ref="C79" si="688">D78/D79</f>
        <v>1.0033252720677146</v>
      </c>
      <c r="D79" s="30">
        <f t="shared" ref="D79" si="689">SUM(F79:H79)</f>
        <v>3.3079999999999998</v>
      </c>
      <c r="E79" s="25">
        <v>0.38800000000000001</v>
      </c>
      <c r="F79" s="26">
        <v>2.6059999999999999</v>
      </c>
      <c r="G79" s="26">
        <v>0.60299999999999998</v>
      </c>
      <c r="H79" s="25">
        <v>9.9000000000000005E-2</v>
      </c>
      <c r="I79" s="27">
        <v>0.2</v>
      </c>
      <c r="J79" s="33" t="s">
        <v>88</v>
      </c>
      <c r="K79" s="29">
        <f t="shared" ref="K79:K80" si="690">M$2/M79</f>
        <v>155.05576208178437</v>
      </c>
      <c r="L79" s="29">
        <f t="shared" ref="L79:L80" si="691">M78/M79</f>
        <v>1.0631970260223049</v>
      </c>
      <c r="M79" s="30">
        <f t="shared" si="686"/>
        <v>0.26900000000000002</v>
      </c>
      <c r="N79" s="25">
        <v>6.3E-2</v>
      </c>
      <c r="O79" s="26">
        <v>0.20300000000000001</v>
      </c>
      <c r="P79" s="26">
        <v>5.1999999999999998E-2</v>
      </c>
      <c r="Q79" s="25">
        <v>1.4E-2</v>
      </c>
      <c r="R79" s="27">
        <v>3.6999999999999998E-2</v>
      </c>
      <c r="S79" s="33" t="s">
        <v>88</v>
      </c>
      <c r="T79" s="29">
        <f t="shared" ref="T79" si="692">ROUND(B79/K79,3)</f>
        <v>0.98</v>
      </c>
      <c r="U79" s="29">
        <f t="shared" ref="U79" si="693">ROUND(C79/L79,3)</f>
        <v>0.94399999999999995</v>
      </c>
      <c r="V79" s="30">
        <f t="shared" ref="V79" si="694">ROUND(D79/M79,3)</f>
        <v>12.297000000000001</v>
      </c>
      <c r="W79" s="25">
        <f t="shared" ref="W79" si="695">ROUND(E79/N79,3)</f>
        <v>6.1589999999999998</v>
      </c>
      <c r="X79" s="26">
        <f t="shared" ref="X79" si="696">ROUND(F79/O79,3)</f>
        <v>12.837</v>
      </c>
      <c r="Y79" s="26">
        <f t="shared" ref="Y79" si="697">ROUND(G79/P79,3)</f>
        <v>11.596</v>
      </c>
      <c r="Z79" s="25">
        <f t="shared" ref="Z79" si="698">ROUND(H79/Q79,3)</f>
        <v>7.0709999999999997</v>
      </c>
      <c r="AA79" s="27">
        <f t="shared" ref="AA79" si="699">ROUND(I79/R79,3)</f>
        <v>5.4050000000000002</v>
      </c>
    </row>
    <row r="80" spans="1:28" s="22" customFormat="1" ht="14.25" customHeight="1" x14ac:dyDescent="0.2">
      <c r="A80" s="32" t="s">
        <v>89</v>
      </c>
      <c r="B80" s="14">
        <f t="shared" ref="B80" si="700">D$2/D80</f>
        <v>152.04898699727852</v>
      </c>
      <c r="C80" s="14">
        <f t="shared" ref="C80" si="701">D79/D80</f>
        <v>1.0003023888720894</v>
      </c>
      <c r="D80" s="17">
        <f t="shared" ref="D80" si="702">SUM(F80:H80)</f>
        <v>3.3069999999999999</v>
      </c>
      <c r="E80" s="22">
        <v>0.38400000000000001</v>
      </c>
      <c r="F80" s="22">
        <v>2.6080000000000001</v>
      </c>
      <c r="G80" s="22">
        <v>0.59699999999999998</v>
      </c>
      <c r="H80" s="22">
        <v>0.10199999999999999</v>
      </c>
      <c r="I80" s="35">
        <v>0.2</v>
      </c>
      <c r="J80" s="32" t="s">
        <v>89</v>
      </c>
      <c r="K80" s="14">
        <f t="shared" si="690"/>
        <v>151.67272727272723</v>
      </c>
      <c r="L80" s="14">
        <f t="shared" si="691"/>
        <v>0.97818181818181815</v>
      </c>
      <c r="M80" s="17">
        <f t="shared" si="686"/>
        <v>0.27500000000000002</v>
      </c>
      <c r="N80" s="22">
        <v>5.6000000000000001E-2</v>
      </c>
      <c r="O80" s="22">
        <v>0.21099999999999999</v>
      </c>
      <c r="P80" s="22">
        <v>5.1999999999999998E-2</v>
      </c>
      <c r="Q80" s="22">
        <v>1.2E-2</v>
      </c>
      <c r="R80" s="35">
        <v>3.5999999999999997E-2</v>
      </c>
      <c r="S80" s="32" t="s">
        <v>89</v>
      </c>
      <c r="T80" s="14">
        <f t="shared" ref="T80:T83" si="703">ROUND(B80/K80,3)</f>
        <v>1.002</v>
      </c>
      <c r="U80" s="14">
        <f t="shared" ref="U80:U83" si="704">ROUND(C80/L80,3)</f>
        <v>1.0229999999999999</v>
      </c>
      <c r="V80" s="17">
        <f t="shared" ref="V80:V83" si="705">ROUND(D80/M80,3)</f>
        <v>12.025</v>
      </c>
      <c r="W80" s="22">
        <f t="shared" ref="W80:W83" si="706">ROUND(E80/N80,3)</f>
        <v>6.8570000000000002</v>
      </c>
      <c r="X80" s="22">
        <f t="shared" ref="X80:X83" si="707">ROUND(F80/O80,3)</f>
        <v>12.36</v>
      </c>
      <c r="Y80" s="22">
        <f t="shared" ref="Y80:Y83" si="708">ROUND(G80/P80,3)</f>
        <v>11.481</v>
      </c>
      <c r="Z80" s="22">
        <f t="shared" ref="Z80:Z83" si="709">ROUND(H80/Q80,3)</f>
        <v>8.5</v>
      </c>
      <c r="AA80" s="35">
        <f t="shared" ref="AA80:AA83" si="710">ROUND(I80/R80,3)</f>
        <v>5.556</v>
      </c>
      <c r="AB80" s="32"/>
    </row>
    <row r="81" spans="1:27" ht="14.25" customHeight="1" x14ac:dyDescent="0.2">
      <c r="A81" s="32" t="s">
        <v>90</v>
      </c>
      <c r="B81" s="14">
        <f t="shared" ref="B81:B83" si="711">D$2/D81</f>
        <v>151.86529749320445</v>
      </c>
      <c r="C81" s="14">
        <f t="shared" ref="C81:C83" si="712">D80/D81</f>
        <v>0.99879190576864985</v>
      </c>
      <c r="D81" s="17">
        <f t="shared" ref="D81:D83" si="713">SUM(F81:H81)</f>
        <v>3.3110000000000004</v>
      </c>
      <c r="E81" s="6">
        <v>0.38100000000000001</v>
      </c>
      <c r="F81" s="6">
        <v>2.6150000000000002</v>
      </c>
      <c r="G81" s="6">
        <v>0.59899999999999998</v>
      </c>
      <c r="H81" s="6">
        <v>9.7000000000000003E-2</v>
      </c>
      <c r="I81" s="28">
        <v>0.2</v>
      </c>
      <c r="J81" s="32" t="s">
        <v>90</v>
      </c>
      <c r="K81" s="14">
        <f t="shared" ref="K81:K86" si="714">M$2/M81</f>
        <v>153.9114391143911</v>
      </c>
      <c r="L81" s="14">
        <f t="shared" ref="L81:L86" si="715">M80/M81</f>
        <v>1.014760147601476</v>
      </c>
      <c r="M81" s="17">
        <f t="shared" ref="M81:M86" si="716">SUM(O81:Q81)</f>
        <v>0.27100000000000002</v>
      </c>
      <c r="N81" s="6">
        <v>5.6000000000000001E-2</v>
      </c>
      <c r="O81" s="6">
        <v>0.20599999999999999</v>
      </c>
      <c r="P81" s="6">
        <v>5.2999999999999999E-2</v>
      </c>
      <c r="Q81" s="6">
        <v>1.2E-2</v>
      </c>
      <c r="R81" s="28">
        <v>3.6999999999999998E-2</v>
      </c>
      <c r="S81" s="32" t="s">
        <v>90</v>
      </c>
      <c r="T81" s="14">
        <f t="shared" si="703"/>
        <v>0.98699999999999999</v>
      </c>
      <c r="U81" s="14">
        <f t="shared" si="704"/>
        <v>0.98399999999999999</v>
      </c>
      <c r="V81" s="17">
        <f t="shared" si="705"/>
        <v>12.218</v>
      </c>
      <c r="W81" s="22">
        <f t="shared" si="706"/>
        <v>6.8040000000000003</v>
      </c>
      <c r="X81" s="22">
        <f t="shared" si="707"/>
        <v>12.694000000000001</v>
      </c>
      <c r="Y81" s="22">
        <f t="shared" si="708"/>
        <v>11.302</v>
      </c>
      <c r="Z81" s="22">
        <f t="shared" si="709"/>
        <v>8.0830000000000002</v>
      </c>
      <c r="AA81" s="35">
        <f t="shared" si="710"/>
        <v>5.4050000000000002</v>
      </c>
    </row>
    <row r="82" spans="1:27" ht="14.25" customHeight="1" x14ac:dyDescent="0.2">
      <c r="A82" s="32" t="s">
        <v>91</v>
      </c>
      <c r="B82" s="14">
        <f t="shared" si="711"/>
        <v>153.16052391105694</v>
      </c>
      <c r="C82" s="14">
        <f t="shared" si="712"/>
        <v>1.0085287846481876</v>
      </c>
      <c r="D82" s="17">
        <f t="shared" si="713"/>
        <v>3.2830000000000004</v>
      </c>
      <c r="E82" s="6">
        <v>0.39100000000000001</v>
      </c>
      <c r="F82" s="6">
        <v>2.5960000000000001</v>
      </c>
      <c r="G82" s="6">
        <v>0.6</v>
      </c>
      <c r="H82" s="6">
        <v>8.6999999999999994E-2</v>
      </c>
      <c r="I82" s="28">
        <v>0.19900000000000001</v>
      </c>
      <c r="J82" s="32" t="s">
        <v>91</v>
      </c>
      <c r="K82" s="14">
        <f t="shared" si="714"/>
        <v>157.99242424242422</v>
      </c>
      <c r="L82" s="14">
        <f t="shared" si="715"/>
        <v>1.0265151515151516</v>
      </c>
      <c r="M82" s="17">
        <f t="shared" si="716"/>
        <v>0.26400000000000001</v>
      </c>
      <c r="N82" s="6">
        <v>5.8999999999999997E-2</v>
      </c>
      <c r="O82" s="6">
        <v>0.20200000000000001</v>
      </c>
      <c r="P82" s="6">
        <v>0.05</v>
      </c>
      <c r="Q82" s="6">
        <v>1.2E-2</v>
      </c>
      <c r="R82" s="28">
        <v>3.5000000000000003E-2</v>
      </c>
      <c r="S82" s="32" t="s">
        <v>91</v>
      </c>
      <c r="T82" s="14">
        <f t="shared" si="703"/>
        <v>0.96899999999999997</v>
      </c>
      <c r="U82" s="14">
        <f t="shared" si="704"/>
        <v>0.98199999999999998</v>
      </c>
      <c r="V82" s="17">
        <f t="shared" si="705"/>
        <v>12.436</v>
      </c>
      <c r="W82" s="22">
        <f t="shared" si="706"/>
        <v>6.6269999999999998</v>
      </c>
      <c r="X82" s="22">
        <f t="shared" si="707"/>
        <v>12.851000000000001</v>
      </c>
      <c r="Y82" s="22">
        <f t="shared" si="708"/>
        <v>12</v>
      </c>
      <c r="Z82" s="22">
        <f t="shared" si="709"/>
        <v>7.25</v>
      </c>
      <c r="AA82" s="35">
        <f t="shared" si="710"/>
        <v>5.6859999999999999</v>
      </c>
    </row>
    <row r="83" spans="1:27" ht="14.25" customHeight="1" x14ac:dyDescent="0.2">
      <c r="A83" s="32" t="s">
        <v>92</v>
      </c>
      <c r="B83" s="14">
        <f t="shared" si="711"/>
        <v>152.04898699727852</v>
      </c>
      <c r="C83" s="14">
        <f t="shared" si="712"/>
        <v>0.99274266706985193</v>
      </c>
      <c r="D83" s="17">
        <f t="shared" si="713"/>
        <v>3.3069999999999999</v>
      </c>
      <c r="E83" s="6">
        <v>0.374</v>
      </c>
      <c r="F83" s="6">
        <v>2.6110000000000002</v>
      </c>
      <c r="G83" s="6">
        <v>0.60199999999999998</v>
      </c>
      <c r="H83" s="6">
        <v>9.4E-2</v>
      </c>
      <c r="I83" s="28">
        <v>0.2</v>
      </c>
      <c r="J83" s="32" t="s">
        <v>92</v>
      </c>
      <c r="K83" s="14">
        <f t="shared" si="714"/>
        <v>157.3962264150943</v>
      </c>
      <c r="L83" s="14">
        <f t="shared" si="715"/>
        <v>0.99622641509433962</v>
      </c>
      <c r="M83" s="17">
        <f t="shared" si="716"/>
        <v>0.26500000000000001</v>
      </c>
      <c r="N83" s="6">
        <v>5.8999999999999997E-2</v>
      </c>
      <c r="O83" s="6">
        <v>0.20200000000000001</v>
      </c>
      <c r="P83" s="6">
        <v>5.0999999999999997E-2</v>
      </c>
      <c r="Q83" s="6">
        <v>1.2E-2</v>
      </c>
      <c r="R83" s="28">
        <v>3.5999999999999997E-2</v>
      </c>
      <c r="S83" s="32" t="s">
        <v>92</v>
      </c>
      <c r="T83" s="14">
        <f t="shared" si="703"/>
        <v>0.96599999999999997</v>
      </c>
      <c r="U83" s="14">
        <f t="shared" si="704"/>
        <v>0.997</v>
      </c>
      <c r="V83" s="17">
        <f t="shared" si="705"/>
        <v>12.478999999999999</v>
      </c>
      <c r="W83" s="22">
        <f t="shared" si="706"/>
        <v>6.3390000000000004</v>
      </c>
      <c r="X83" s="22">
        <f t="shared" si="707"/>
        <v>12.926</v>
      </c>
      <c r="Y83" s="22">
        <f t="shared" si="708"/>
        <v>11.804</v>
      </c>
      <c r="Z83" s="22">
        <f t="shared" si="709"/>
        <v>7.8330000000000002</v>
      </c>
      <c r="AA83" s="35">
        <f t="shared" si="710"/>
        <v>5.556</v>
      </c>
    </row>
    <row r="84" spans="1:27" ht="14.25" customHeight="1" x14ac:dyDescent="0.2">
      <c r="A84" s="32" t="s">
        <v>93</v>
      </c>
      <c r="B84" s="14">
        <f t="shared" ref="B84:B85" si="717">D$2/D84</f>
        <v>152.9741405536964</v>
      </c>
      <c r="C84" s="14">
        <f t="shared" ref="C84:C85" si="718">D83/D84</f>
        <v>1.0060845756008518</v>
      </c>
      <c r="D84" s="17">
        <f t="shared" ref="D84:D85" si="719">SUM(F84:H84)</f>
        <v>3.2869999999999999</v>
      </c>
      <c r="E84" s="6">
        <v>0.373</v>
      </c>
      <c r="F84" s="6">
        <v>2.5939999999999999</v>
      </c>
      <c r="G84" s="6">
        <v>0.59699999999999998</v>
      </c>
      <c r="H84" s="6">
        <v>9.6000000000000002E-2</v>
      </c>
      <c r="I84" s="28">
        <v>0.19800000000000001</v>
      </c>
      <c r="J84" s="32" t="s">
        <v>93</v>
      </c>
      <c r="K84" s="14">
        <f t="shared" si="714"/>
        <v>153.34558823529409</v>
      </c>
      <c r="L84" s="14">
        <f t="shared" si="715"/>
        <v>0.97426470588235292</v>
      </c>
      <c r="M84" s="17">
        <f t="shared" si="716"/>
        <v>0.27200000000000002</v>
      </c>
      <c r="N84" s="6">
        <v>5.8000000000000003E-2</v>
      </c>
      <c r="O84" s="6">
        <v>0.20899999999999999</v>
      </c>
      <c r="P84" s="6">
        <v>5.0999999999999997E-2</v>
      </c>
      <c r="Q84" s="6">
        <v>1.2E-2</v>
      </c>
      <c r="R84" s="28">
        <v>3.5999999999999997E-2</v>
      </c>
      <c r="S84" s="32" t="s">
        <v>93</v>
      </c>
      <c r="T84" s="14">
        <f t="shared" ref="T84:T85" si="720">ROUND(B84/K84,3)</f>
        <v>0.998</v>
      </c>
      <c r="U84" s="14">
        <f t="shared" ref="U84:U85" si="721">ROUND(C84/L84,3)</f>
        <v>1.0329999999999999</v>
      </c>
      <c r="V84" s="17">
        <f t="shared" ref="V84:V85" si="722">ROUND(D84/M84,3)</f>
        <v>12.085000000000001</v>
      </c>
      <c r="W84" s="22">
        <f t="shared" ref="W84:W85" si="723">ROUND(E84/N84,3)</f>
        <v>6.431</v>
      </c>
      <c r="X84" s="22">
        <f t="shared" ref="X84:X85" si="724">ROUND(F84/O84,3)</f>
        <v>12.411</v>
      </c>
      <c r="Y84" s="22">
        <f t="shared" ref="Y84:Y85" si="725">ROUND(G84/P84,3)</f>
        <v>11.706</v>
      </c>
      <c r="Z84" s="22">
        <f t="shared" ref="Z84:Z85" si="726">ROUND(H84/Q84,3)</f>
        <v>8</v>
      </c>
      <c r="AA84" s="35">
        <f t="shared" ref="AA84:AA85" si="727">ROUND(I84/R84,3)</f>
        <v>5.5</v>
      </c>
    </row>
    <row r="85" spans="1:27" ht="14.25" customHeight="1" x14ac:dyDescent="0.2">
      <c r="A85" s="32" t="s">
        <v>94</v>
      </c>
      <c r="B85" s="14">
        <f t="shared" si="717"/>
        <v>153.62847540482738</v>
      </c>
      <c r="C85" s="14">
        <f t="shared" si="718"/>
        <v>1.0042774213260006</v>
      </c>
      <c r="D85" s="17">
        <f t="shared" si="719"/>
        <v>3.2730000000000001</v>
      </c>
      <c r="E85" s="6">
        <v>0.379</v>
      </c>
      <c r="F85" s="6">
        <v>2.5840000000000001</v>
      </c>
      <c r="G85" s="6">
        <v>0.6</v>
      </c>
      <c r="H85" s="6">
        <v>8.8999999999999996E-2</v>
      </c>
      <c r="I85" s="28">
        <v>0.2</v>
      </c>
      <c r="J85" s="32" t="s">
        <v>94</v>
      </c>
      <c r="K85" s="14">
        <f t="shared" si="714"/>
        <v>154.48148148148144</v>
      </c>
      <c r="L85" s="14">
        <f t="shared" si="715"/>
        <v>1.0074074074074073</v>
      </c>
      <c r="M85" s="17">
        <f t="shared" si="716"/>
        <v>0.27</v>
      </c>
      <c r="N85" s="6">
        <v>5.8000000000000003E-2</v>
      </c>
      <c r="O85" s="6">
        <v>0.20799999999999999</v>
      </c>
      <c r="P85" s="6">
        <v>0.05</v>
      </c>
      <c r="Q85" s="6">
        <v>1.2E-2</v>
      </c>
      <c r="R85" s="28">
        <v>3.5000000000000003E-2</v>
      </c>
      <c r="S85" s="32" t="s">
        <v>94</v>
      </c>
      <c r="T85" s="14">
        <f t="shared" si="720"/>
        <v>0.99399999999999999</v>
      </c>
      <c r="U85" s="14">
        <f t="shared" si="721"/>
        <v>0.997</v>
      </c>
      <c r="V85" s="17">
        <f t="shared" si="722"/>
        <v>12.122</v>
      </c>
      <c r="W85" s="22">
        <f t="shared" si="723"/>
        <v>6.5339999999999998</v>
      </c>
      <c r="X85" s="22">
        <f t="shared" si="724"/>
        <v>12.423</v>
      </c>
      <c r="Y85" s="22">
        <f t="shared" si="725"/>
        <v>12</v>
      </c>
      <c r="Z85" s="22">
        <f t="shared" si="726"/>
        <v>7.4169999999999998</v>
      </c>
      <c r="AA85" s="35">
        <f t="shared" si="727"/>
        <v>5.7140000000000004</v>
      </c>
    </row>
    <row r="86" spans="1:27" ht="14.25" customHeight="1" x14ac:dyDescent="0.2">
      <c r="A86" s="32" t="s">
        <v>95</v>
      </c>
      <c r="B86" s="14">
        <f t="shared" ref="B86" si="728">D$2/D86</f>
        <v>152.41770233404063</v>
      </c>
      <c r="C86" s="14">
        <f t="shared" ref="C86" si="729">D85/D86</f>
        <v>0.99211882388602612</v>
      </c>
      <c r="D86" s="17">
        <f t="shared" ref="D86" si="730">SUM(F86:H86)</f>
        <v>3.2989999999999999</v>
      </c>
      <c r="E86" s="6">
        <v>0.39300000000000002</v>
      </c>
      <c r="F86" s="6">
        <v>2.605</v>
      </c>
      <c r="G86" s="6">
        <v>0.60099999999999998</v>
      </c>
      <c r="H86" s="6">
        <v>9.2999999999999999E-2</v>
      </c>
      <c r="I86" s="28">
        <v>0.2</v>
      </c>
      <c r="J86" s="32" t="s">
        <v>95</v>
      </c>
      <c r="K86" s="14">
        <f t="shared" si="714"/>
        <v>157.99242424242422</v>
      </c>
      <c r="L86" s="14">
        <f t="shared" si="715"/>
        <v>1.0227272727272727</v>
      </c>
      <c r="M86" s="17">
        <f t="shared" si="716"/>
        <v>0.26400000000000001</v>
      </c>
      <c r="N86" s="6">
        <v>7.0000000000000007E-2</v>
      </c>
      <c r="O86" s="6">
        <v>0.2</v>
      </c>
      <c r="P86" s="6">
        <v>5.1999999999999998E-2</v>
      </c>
      <c r="Q86" s="6">
        <v>1.2E-2</v>
      </c>
      <c r="R86" s="28">
        <v>3.5999999999999997E-2</v>
      </c>
      <c r="S86" s="32" t="s">
        <v>95</v>
      </c>
      <c r="T86" s="14">
        <f t="shared" ref="T86" si="731">ROUND(B86/K86,3)</f>
        <v>0.96499999999999997</v>
      </c>
      <c r="U86" s="14">
        <f t="shared" ref="U86" si="732">ROUND(C86/L86,3)</f>
        <v>0.97</v>
      </c>
      <c r="V86" s="17">
        <f t="shared" ref="V86" si="733">ROUND(D86/M86,3)</f>
        <v>12.496</v>
      </c>
      <c r="W86" s="22">
        <f t="shared" ref="W86" si="734">ROUND(E86/N86,3)</f>
        <v>5.6139999999999999</v>
      </c>
      <c r="X86" s="22">
        <f t="shared" ref="X86" si="735">ROUND(F86/O86,3)</f>
        <v>13.025</v>
      </c>
      <c r="Y86" s="22">
        <f t="shared" ref="Y86" si="736">ROUND(G86/P86,3)</f>
        <v>11.558</v>
      </c>
      <c r="Z86" s="22">
        <f t="shared" ref="Z86" si="737">ROUND(H86/Q86,3)</f>
        <v>7.75</v>
      </c>
      <c r="AA86" s="35">
        <f t="shared" ref="AA86" si="738">ROUND(I86/R86,3)</f>
        <v>5.556</v>
      </c>
    </row>
    <row r="87" spans="1:27" ht="14.25" customHeight="1" x14ac:dyDescent="0.2">
      <c r="A87" s="32" t="s">
        <v>96</v>
      </c>
      <c r="B87" s="14">
        <f t="shared" ref="B87:B89" si="739">D$2/D87</f>
        <v>151.81944444444446</v>
      </c>
      <c r="C87" s="14">
        <f t="shared" ref="C87:C89" si="740">D86/D87</f>
        <v>0.99607487922705318</v>
      </c>
      <c r="D87" s="17">
        <f t="shared" ref="D87:D89" si="741">SUM(F87:H87)</f>
        <v>3.3119999999999998</v>
      </c>
      <c r="E87" s="6">
        <v>0.38</v>
      </c>
      <c r="F87" s="6">
        <v>2.609</v>
      </c>
      <c r="G87" s="6">
        <v>0.60099999999999998</v>
      </c>
      <c r="H87" s="6">
        <v>0.10199999999999999</v>
      </c>
      <c r="I87" s="28">
        <v>0.20100000000000001</v>
      </c>
      <c r="J87" s="32" t="s">
        <v>96</v>
      </c>
      <c r="K87" s="14">
        <f t="shared" ref="K87:K89" si="742">M$2/M87</f>
        <v>157.99242424242422</v>
      </c>
      <c r="L87" s="14">
        <f t="shared" ref="L87:L89" si="743">M86/M87</f>
        <v>1</v>
      </c>
      <c r="M87" s="17">
        <f t="shared" ref="M87:M89" si="744">SUM(O87:Q87)</f>
        <v>0.26400000000000001</v>
      </c>
      <c r="N87" s="6">
        <v>5.8000000000000003E-2</v>
      </c>
      <c r="O87" s="6">
        <v>0.20200000000000001</v>
      </c>
      <c r="P87" s="6">
        <v>0.05</v>
      </c>
      <c r="Q87" s="6">
        <v>1.2E-2</v>
      </c>
      <c r="R87" s="28">
        <v>3.5999999999999997E-2</v>
      </c>
      <c r="S87" s="32" t="s">
        <v>96</v>
      </c>
      <c r="T87" s="14">
        <f t="shared" ref="T87:T89" si="745">ROUND(B87/K87,3)</f>
        <v>0.96099999999999997</v>
      </c>
      <c r="U87" s="14">
        <f t="shared" ref="U87:U89" si="746">ROUND(C87/L87,3)</f>
        <v>0.996</v>
      </c>
      <c r="V87" s="17">
        <f t="shared" ref="V87:V89" si="747">ROUND(D87/M87,3)</f>
        <v>12.545</v>
      </c>
      <c r="W87" s="22">
        <f t="shared" ref="W87:W89" si="748">ROUND(E87/N87,3)</f>
        <v>6.5519999999999996</v>
      </c>
      <c r="X87" s="22">
        <f t="shared" ref="X87:X89" si="749">ROUND(F87/O87,3)</f>
        <v>12.916</v>
      </c>
      <c r="Y87" s="22">
        <f t="shared" ref="Y87:Y89" si="750">ROUND(G87/P87,3)</f>
        <v>12.02</v>
      </c>
      <c r="Z87" s="22">
        <f t="shared" ref="Z87:Z89" si="751">ROUND(H87/Q87,3)</f>
        <v>8.5</v>
      </c>
      <c r="AA87" s="35">
        <f t="shared" ref="AA87:AA89" si="752">ROUND(I87/R87,3)</f>
        <v>5.5830000000000002</v>
      </c>
    </row>
    <row r="88" spans="1:27" ht="14.25" customHeight="1" x14ac:dyDescent="0.2">
      <c r="A88" s="32" t="s">
        <v>97</v>
      </c>
      <c r="B88" s="14">
        <f t="shared" si="739"/>
        <v>152.3253559527416</v>
      </c>
      <c r="C88" s="14">
        <f t="shared" si="740"/>
        <v>1.0033323235383216</v>
      </c>
      <c r="D88" s="17">
        <f t="shared" si="741"/>
        <v>3.3010000000000002</v>
      </c>
      <c r="E88" s="6">
        <v>0.38200000000000001</v>
      </c>
      <c r="F88" s="6">
        <v>2.6110000000000002</v>
      </c>
      <c r="G88" s="6">
        <v>0.6</v>
      </c>
      <c r="H88" s="6">
        <v>0.09</v>
      </c>
      <c r="I88" s="28">
        <v>0.2</v>
      </c>
      <c r="J88" s="32" t="s">
        <v>97</v>
      </c>
      <c r="K88" s="14">
        <f t="shared" si="742"/>
        <v>157.3962264150943</v>
      </c>
      <c r="L88" s="14">
        <f t="shared" si="743"/>
        <v>0.99622641509433962</v>
      </c>
      <c r="M88" s="17">
        <f t="shared" si="744"/>
        <v>0.26500000000000001</v>
      </c>
      <c r="N88" s="6">
        <v>6.2E-2</v>
      </c>
      <c r="O88" s="6">
        <v>0.20300000000000001</v>
      </c>
      <c r="P88" s="6">
        <v>0.05</v>
      </c>
      <c r="Q88" s="6">
        <v>1.2E-2</v>
      </c>
      <c r="R88" s="28">
        <v>3.5000000000000003E-2</v>
      </c>
      <c r="S88" s="32" t="s">
        <v>97</v>
      </c>
      <c r="T88" s="14">
        <f t="shared" si="745"/>
        <v>0.96799999999999997</v>
      </c>
      <c r="U88" s="14">
        <f t="shared" si="746"/>
        <v>1.0069999999999999</v>
      </c>
      <c r="V88" s="17">
        <f t="shared" si="747"/>
        <v>12.457000000000001</v>
      </c>
      <c r="W88" s="22">
        <f t="shared" si="748"/>
        <v>6.1609999999999996</v>
      </c>
      <c r="X88" s="22">
        <f t="shared" si="749"/>
        <v>12.862</v>
      </c>
      <c r="Y88" s="22">
        <f t="shared" si="750"/>
        <v>12</v>
      </c>
      <c r="Z88" s="22">
        <f t="shared" si="751"/>
        <v>7.5</v>
      </c>
      <c r="AA88" s="35">
        <f t="shared" si="752"/>
        <v>5.7140000000000004</v>
      </c>
    </row>
    <row r="89" spans="1:27" ht="14.25" customHeight="1" x14ac:dyDescent="0.2">
      <c r="A89" s="32" t="s">
        <v>98</v>
      </c>
      <c r="B89" s="14">
        <f t="shared" si="739"/>
        <v>152.37151515151515</v>
      </c>
      <c r="C89" s="14">
        <f t="shared" si="740"/>
        <v>1.0003030303030305</v>
      </c>
      <c r="D89" s="17">
        <f t="shared" si="741"/>
        <v>3.3</v>
      </c>
      <c r="E89" s="6">
        <v>0.372</v>
      </c>
      <c r="F89" s="6">
        <v>2.6059999999999999</v>
      </c>
      <c r="G89" s="6">
        <v>0.59799999999999998</v>
      </c>
      <c r="H89" s="6">
        <v>9.6000000000000002E-2</v>
      </c>
      <c r="I89" s="28">
        <v>0.2</v>
      </c>
      <c r="J89" s="32" t="s">
        <v>98</v>
      </c>
      <c r="K89" s="14">
        <f t="shared" si="742"/>
        <v>155.05576208178437</v>
      </c>
      <c r="L89" s="14">
        <f t="shared" si="743"/>
        <v>0.98513011152416352</v>
      </c>
      <c r="M89" s="17">
        <f t="shared" si="744"/>
        <v>0.26900000000000002</v>
      </c>
      <c r="N89" s="6">
        <v>5.8000000000000003E-2</v>
      </c>
      <c r="O89" s="6">
        <v>0.20599999999999999</v>
      </c>
      <c r="P89" s="6">
        <v>5.0999999999999997E-2</v>
      </c>
      <c r="Q89" s="6">
        <v>1.2E-2</v>
      </c>
      <c r="R89" s="28">
        <v>3.5999999999999997E-2</v>
      </c>
      <c r="S89" s="32" t="s">
        <v>98</v>
      </c>
      <c r="T89" s="14">
        <f t="shared" si="745"/>
        <v>0.98299999999999998</v>
      </c>
      <c r="U89" s="14">
        <f t="shared" si="746"/>
        <v>1.0149999999999999</v>
      </c>
      <c r="V89" s="17">
        <f t="shared" si="747"/>
        <v>12.268000000000001</v>
      </c>
      <c r="W89" s="22">
        <f t="shared" si="748"/>
        <v>6.4139999999999997</v>
      </c>
      <c r="X89" s="22">
        <f t="shared" si="749"/>
        <v>12.65</v>
      </c>
      <c r="Y89" s="22">
        <f t="shared" si="750"/>
        <v>11.725</v>
      </c>
      <c r="Z89" s="22">
        <f t="shared" si="751"/>
        <v>8</v>
      </c>
      <c r="AA89" s="35">
        <f t="shared" si="752"/>
        <v>5.556</v>
      </c>
    </row>
  </sheetData>
  <phoneticPr fontId="2" type="noConversion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2026-05-01T09:02:42Z</dcterms:created>
  <dcterms:modified xsi:type="dcterms:W3CDTF">2026-10-24T20:22:15Z</dcterms:modified>
</cp:coreProperties>
</file>