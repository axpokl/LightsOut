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0DDFD51-402B-4989-A279-C8273E2E8033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  <sheet name="Sheet1" sheetId="3" r:id="rId2"/>
  </sheets>
  <definedNames>
    <definedName name="_xlnm._FilterDatabase" localSheetId="1" hidden="1">Sheet1!$A$1:$Q$102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" i="2" l="1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W16" i="2"/>
  <c r="X16" i="2"/>
  <c r="Y16" i="2"/>
  <c r="Z16" i="2"/>
  <c r="AA16" i="2"/>
  <c r="T2" i="2"/>
  <c r="U2" i="2"/>
  <c r="W15" i="2"/>
  <c r="X15" i="2"/>
  <c r="Y15" i="2"/>
  <c r="Z15" i="2"/>
  <c r="AA15" i="2"/>
  <c r="W3" i="2"/>
  <c r="W4" i="2"/>
  <c r="W5" i="2"/>
  <c r="W6" i="2"/>
  <c r="W7" i="2"/>
  <c r="W8" i="2"/>
  <c r="W9" i="2"/>
  <c r="W10" i="2"/>
  <c r="W11" i="2"/>
  <c r="W12" i="2"/>
  <c r="W13" i="2"/>
  <c r="W14" i="2"/>
  <c r="W2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Z9" i="2"/>
  <c r="Y9" i="2"/>
  <c r="X9" i="2"/>
  <c r="AA9" i="2"/>
  <c r="Z8" i="2"/>
  <c r="Y8" i="2"/>
  <c r="X8" i="2"/>
  <c r="AA8" i="2"/>
  <c r="Z7" i="2"/>
  <c r="Y7" i="2"/>
  <c r="X7" i="2"/>
  <c r="AA7" i="2"/>
  <c r="Z6" i="2"/>
  <c r="Y6" i="2"/>
  <c r="X6" i="2"/>
  <c r="AA6" i="2"/>
  <c r="Z5" i="2"/>
  <c r="Y5" i="2"/>
  <c r="X5" i="2"/>
  <c r="AA5" i="2"/>
  <c r="Z4" i="2"/>
  <c r="Y4" i="2"/>
  <c r="X4" i="2"/>
  <c r="AA4" i="2"/>
  <c r="Z3" i="2"/>
  <c r="Y3" i="2"/>
  <c r="X3" i="2"/>
  <c r="AA3" i="2"/>
  <c r="Z2" i="2"/>
  <c r="Y2" i="2"/>
  <c r="X2" i="2"/>
  <c r="AA2" i="2"/>
  <c r="V2" i="2" l="1"/>
  <c r="V13" i="2"/>
  <c r="L5" i="2"/>
  <c r="L15" i="2"/>
  <c r="V10" i="2"/>
  <c r="K10" i="2"/>
  <c r="K9" i="2"/>
  <c r="V11" i="2"/>
  <c r="L14" i="2"/>
  <c r="V9" i="2"/>
  <c r="K13" i="2"/>
  <c r="K12" i="2"/>
  <c r="K6" i="2"/>
  <c r="K7" i="2"/>
  <c r="L3" i="2"/>
  <c r="V8" i="2"/>
  <c r="V3" i="2"/>
  <c r="V7" i="2"/>
  <c r="V6" i="2"/>
  <c r="L4" i="2"/>
  <c r="V4" i="2"/>
  <c r="L12" i="2"/>
  <c r="K11" i="2"/>
  <c r="B16" i="2"/>
  <c r="L9" i="2"/>
  <c r="L16" i="2"/>
  <c r="V16" i="2"/>
  <c r="K16" i="2"/>
  <c r="C16" i="2"/>
  <c r="C15" i="2"/>
  <c r="K15" i="2"/>
  <c r="L10" i="2"/>
  <c r="K4" i="2"/>
  <c r="K14" i="2"/>
  <c r="K3" i="2"/>
  <c r="K5" i="2"/>
  <c r="K8" i="2"/>
  <c r="L7" i="2"/>
  <c r="L6" i="2"/>
  <c r="L13" i="2"/>
  <c r="L8" i="2"/>
  <c r="V5" i="2"/>
  <c r="L11" i="2"/>
  <c r="V15" i="2"/>
  <c r="B15" i="2"/>
  <c r="V14" i="2"/>
  <c r="B14" i="2"/>
  <c r="B13" i="2"/>
  <c r="C14" i="2"/>
  <c r="C13" i="2"/>
  <c r="C3" i="2"/>
  <c r="C12" i="2"/>
  <c r="C11" i="2"/>
  <c r="C9" i="2"/>
  <c r="C4" i="2"/>
  <c r="B3" i="2"/>
  <c r="B5" i="2"/>
  <c r="B6" i="2"/>
  <c r="T6" i="2" s="1"/>
  <c r="B4" i="2"/>
  <c r="B7" i="2"/>
  <c r="B12" i="2"/>
  <c r="C10" i="2"/>
  <c r="C5" i="2"/>
  <c r="C6" i="2"/>
  <c r="B10" i="2"/>
  <c r="C7" i="2"/>
  <c r="B8" i="2"/>
  <c r="B11" i="2"/>
  <c r="C8" i="2"/>
  <c r="B9" i="2"/>
  <c r="V12" i="2"/>
  <c r="T7" i="2" l="1"/>
  <c r="U5" i="2"/>
  <c r="U15" i="2"/>
  <c r="U14" i="2"/>
  <c r="T10" i="2"/>
  <c r="T9" i="2"/>
  <c r="U3" i="2"/>
  <c r="U8" i="2"/>
  <c r="U7" i="2"/>
  <c r="T8" i="2"/>
  <c r="U4" i="2"/>
  <c r="U6" i="2"/>
  <c r="U10" i="2"/>
  <c r="T11" i="2"/>
  <c r="T4" i="2"/>
  <c r="U13" i="2"/>
  <c r="T16" i="2"/>
  <c r="U16" i="2"/>
  <c r="U9" i="2"/>
  <c r="U11" i="2"/>
  <c r="T5" i="2"/>
  <c r="T3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<sst xmlns="http://schemas.openxmlformats.org/spreadsheetml/2006/main" count="736" uniqueCount="34">
  <si>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</si>
  <si>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</si>
  <si>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</si>
  <si>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</si>
  <si>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</si>
  <si>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</si>
  <si>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</si>
  <si>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</si>
  <si>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</si>
  <si>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</si>
  <si>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</si>
  <si>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</si>
  <si>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</si>
  <si>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</si>
  <si>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</si>
  <si>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</si>
  <si>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B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</si>
  <si>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</si>
  <si>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</si>
  <si>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</si>
  <si>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</si>
  <si>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</si>
  <si>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</si>
  <si>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</si>
  <si>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</si>
  <si>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</si>
  <si>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比较</t>
    <phoneticPr fontId="2" type="noConversion"/>
  </si>
  <si>
    <t>H36</t>
  </si>
  <si>
    <t>gTRUE</t>
  </si>
  <si>
    <t>x1030.884</t>
  </si>
  <si>
    <t>m</t>
  </si>
  <si>
    <t>c</t>
  </si>
  <si>
    <t>d</t>
  </si>
  <si>
    <t>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</si>
</sst>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 wrapText="1"/>
    </xf>
    <xf numFmtId="176" fontId="0" fillId="0" borderId="2" xfId="0" applyNumberFormat="1" applyBorder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1" fillId="0" borderId="1" xfId="0" applyNumberFormat="1" applyFont="1" applyBorder="1" applyAlignment="1">
      <alignment horizontal="left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 wrapText="1"/>
    </xf>
    <xf numFmtId="176" fontId="0" fillId="0" borderId="3" xfId="0" applyNumberFormat="1" applyBorder="1" applyAlignment="1">
      <alignment horizontal="left" vertical="center" wrapText="1"/>
    </xf>
    <xf numFmtId="176" fontId="0" fillId="0" borderId="4" xfId="0" applyNumberFormat="1" applyBorder="1" applyAlignment="1">
      <alignment horizontal="left" vertical="center" wrapText="1"/>
    </xf>
    <xf numFmtId="176" fontId="1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17"/>
  <sheetViews>
    <sheetView tabSelected="1" workbookViewId="0">
      <selection activeCell="G24" sqref="G24"/>
    </sheetView>
  </sheetViews>
  <sheetFormatPr defaultColWidth="7.625" defaultRowHeight="14.25" customHeight="1" x14ac:dyDescent="0.2"/>
  <cols>
    <col min="1" max="1" width="7.625" style="15"/>
    <col min="2" max="3" width="7.625" style="11"/>
    <col min="4" max="4" width="7.625" style="11" customWidth="1"/>
    <col min="5" max="8" width="7.625" style="11"/>
    <col min="9" max="9" width="7.625" style="12"/>
    <col min="10" max="10" width="7.625" style="15"/>
    <col min="11" max="17" width="7.625" style="11"/>
    <col min="18" max="18" width="7.625" style="12"/>
    <col min="19" max="19" width="7.625" style="15"/>
    <col min="20" max="26" width="7.625" style="11"/>
    <col min="27" max="27" width="7.625" style="12"/>
    <col min="28" max="28" width="7.625" style="15"/>
    <col min="29" max="16384" width="7.625" style="11"/>
  </cols>
  <sheetData>
    <row r="1" spans="1:27" ht="14.25" customHeight="1" x14ac:dyDescent="0.2">
      <c r="A1" s="13" t="s">
        <v>17</v>
      </c>
      <c r="B1" s="2" t="s">
        <v>18</v>
      </c>
      <c r="C1" s="2" t="s">
        <v>19</v>
      </c>
      <c r="D1" s="1" t="s">
        <v>20</v>
      </c>
      <c r="E1" s="2" t="s">
        <v>24</v>
      </c>
      <c r="F1" s="1" t="s">
        <v>11</v>
      </c>
      <c r="G1" s="1" t="s">
        <v>12</v>
      </c>
      <c r="H1" s="1" t="s">
        <v>13</v>
      </c>
      <c r="I1" s="3" t="s">
        <v>21</v>
      </c>
      <c r="J1" s="14" t="s">
        <v>16</v>
      </c>
      <c r="K1" s="2" t="s">
        <v>15</v>
      </c>
      <c r="L1" s="2" t="s">
        <v>14</v>
      </c>
      <c r="M1" s="1" t="s">
        <v>20</v>
      </c>
      <c r="N1" s="1" t="s">
        <v>24</v>
      </c>
      <c r="O1" s="1" t="s">
        <v>11</v>
      </c>
      <c r="P1" s="1" t="s">
        <v>12</v>
      </c>
      <c r="Q1" s="1" t="s">
        <v>13</v>
      </c>
      <c r="R1" s="3" t="s">
        <v>21</v>
      </c>
      <c r="S1" s="14" t="s">
        <v>26</v>
      </c>
      <c r="T1" s="2" t="s">
        <v>15</v>
      </c>
      <c r="U1" s="2" t="s">
        <v>14</v>
      </c>
      <c r="V1" s="1" t="s">
        <v>20</v>
      </c>
      <c r="W1" s="1" t="s">
        <v>24</v>
      </c>
      <c r="X1" s="1" t="s">
        <v>11</v>
      </c>
      <c r="Y1" s="1" t="s">
        <v>12</v>
      </c>
      <c r="Z1" s="1" t="s">
        <v>13</v>
      </c>
      <c r="AA1" s="3" t="s">
        <v>21</v>
      </c>
    </row>
    <row r="2" spans="1:27" ht="14.25" customHeight="1" x14ac:dyDescent="0.2">
      <c r="A2" s="16" t="s">
        <v>0</v>
      </c>
      <c r="B2" s="5">
        <v>1</v>
      </c>
      <c r="C2" s="5">
        <v>1</v>
      </c>
      <c r="D2" s="4">
        <f>SUM(F2:H2)</f>
        <v>401.53999999999996</v>
      </c>
      <c r="E2" s="5">
        <v>379.02</v>
      </c>
      <c r="F2" s="6">
        <v>142.38</v>
      </c>
      <c r="G2" s="6">
        <v>120.7</v>
      </c>
      <c r="H2" s="6">
        <v>138.46</v>
      </c>
      <c r="I2" s="7">
        <v>226.37</v>
      </c>
      <c r="J2" s="16" t="s">
        <v>0</v>
      </c>
      <c r="K2" s="5">
        <v>1</v>
      </c>
      <c r="L2" s="5">
        <v>1</v>
      </c>
      <c r="M2" s="4">
        <f>SUM(O2:Q2)</f>
        <v>35.099999999999994</v>
      </c>
      <c r="N2" s="5">
        <v>67.77</v>
      </c>
      <c r="O2" s="6">
        <v>5.3</v>
      </c>
      <c r="P2" s="6">
        <v>12.99</v>
      </c>
      <c r="Q2" s="6">
        <v>16.809999999999999</v>
      </c>
      <c r="R2" s="7">
        <v>28.39</v>
      </c>
      <c r="S2" s="16" t="s">
        <v>0</v>
      </c>
      <c r="T2" s="5">
        <f t="shared" ref="T2:T16" si="0">ROUND(B2/K2,3)</f>
        <v>1</v>
      </c>
      <c r="U2" s="5">
        <f t="shared" ref="U2:U16" si="1">ROUND(C2/L2,3)</f>
        <v>1</v>
      </c>
      <c r="V2" s="4">
        <f t="shared" ref="V2:V16" si="2">ROUND(D2/M2,3)</f>
        <v>11.44</v>
      </c>
      <c r="W2" s="5">
        <f t="shared" ref="W2:W16" si="3">ROUND(E2/N2,3)</f>
        <v>5.593</v>
      </c>
      <c r="X2" s="6">
        <f t="shared" ref="X2:X16" si="4">ROUND(F2/O2,3)</f>
        <v>26.864000000000001</v>
      </c>
      <c r="Y2" s="6">
        <f t="shared" ref="Y2:Y16" si="5">ROUND(G2/P2,3)</f>
        <v>9.2919999999999998</v>
      </c>
      <c r="Z2" s="6">
        <f t="shared" ref="Z2:Z16" si="6">ROUND(H2/Q2,3)</f>
        <v>8.2370000000000001</v>
      </c>
      <c r="AA2" s="7">
        <f t="shared" ref="AA2:AA16" si="7">ROUND(I2/R2,3)</f>
        <v>7.9740000000000002</v>
      </c>
    </row>
    <row r="3" spans="1:27" ht="14.25" customHeight="1" x14ac:dyDescent="0.2">
      <c r="A3" s="16" t="s">
        <v>1</v>
      </c>
      <c r="B3" s="2">
        <f>D$2/D3</f>
        <v>1.5459900666076312</v>
      </c>
      <c r="C3" s="2">
        <f>D2/D3</f>
        <v>1.5459900666076312</v>
      </c>
      <c r="D3" s="8">
        <f t="shared" ref="D3:D16" si="8">SUM(F3:H3)</f>
        <v>259.72999999999996</v>
      </c>
      <c r="E3" s="5">
        <v>379.46</v>
      </c>
      <c r="F3" s="6">
        <v>139.13</v>
      </c>
      <c r="G3" s="6">
        <v>118.16</v>
      </c>
      <c r="H3" s="1">
        <v>2.44</v>
      </c>
      <c r="I3" s="9">
        <v>227.29</v>
      </c>
      <c r="J3" s="16" t="s">
        <v>1</v>
      </c>
      <c r="K3" s="2">
        <f>M$2/M3</f>
        <v>1.9306930693069304</v>
      </c>
      <c r="L3" s="2">
        <f>M2/M3</f>
        <v>1.9306930693069304</v>
      </c>
      <c r="M3" s="8">
        <f t="shared" ref="M3:M16" si="9">SUM(O3:Q3)</f>
        <v>18.18</v>
      </c>
      <c r="N3" s="5">
        <v>68.98</v>
      </c>
      <c r="O3" s="6">
        <v>5.09</v>
      </c>
      <c r="P3" s="6">
        <v>12.62</v>
      </c>
      <c r="Q3" s="1">
        <v>0.47</v>
      </c>
      <c r="R3" s="9">
        <v>27.38</v>
      </c>
      <c r="S3" s="16" t="s">
        <v>1</v>
      </c>
      <c r="T3" s="2">
        <f t="shared" si="0"/>
        <v>0.80100000000000005</v>
      </c>
      <c r="U3" s="2">
        <f t="shared" si="1"/>
        <v>0.80100000000000005</v>
      </c>
      <c r="V3" s="8">
        <f t="shared" si="2"/>
        <v>14.287000000000001</v>
      </c>
      <c r="W3" s="5">
        <f t="shared" si="3"/>
        <v>5.5010000000000003</v>
      </c>
      <c r="X3" s="6">
        <f t="shared" si="4"/>
        <v>27.334</v>
      </c>
      <c r="Y3" s="6">
        <f t="shared" si="5"/>
        <v>9.3629999999999995</v>
      </c>
      <c r="Z3" s="1">
        <f t="shared" si="6"/>
        <v>5.1909999999999998</v>
      </c>
      <c r="AA3" s="9">
        <f t="shared" si="7"/>
        <v>8.3010000000000002</v>
      </c>
    </row>
    <row r="4" spans="1:27" ht="14.25" customHeight="1" x14ac:dyDescent="0.2">
      <c r="A4" s="16" t="s">
        <v>2</v>
      </c>
      <c r="B4" s="2">
        <f t="shared" ref="B4:B12" si="10">D$2/D4</f>
        <v>1.9822283655032826</v>
      </c>
      <c r="C4" s="2">
        <f t="shared" ref="C4:C12" si="11">D3/D4</f>
        <v>1.2821740632867649</v>
      </c>
      <c r="D4" s="8">
        <f t="shared" si="8"/>
        <v>202.57</v>
      </c>
      <c r="E4" s="5">
        <v>364.8</v>
      </c>
      <c r="F4" s="1">
        <v>74.77</v>
      </c>
      <c r="G4" s="6">
        <v>125.29</v>
      </c>
      <c r="H4" s="6">
        <v>2.5099999999999998</v>
      </c>
      <c r="I4" s="7">
        <v>222.02</v>
      </c>
      <c r="J4" s="16" t="s">
        <v>2</v>
      </c>
      <c r="K4" s="2">
        <f t="shared" ref="K4:K12" si="12">M$2/M4</f>
        <v>2.0671378091872787</v>
      </c>
      <c r="L4" s="2">
        <f t="shared" ref="L4:L12" si="13">M3/M4</f>
        <v>1.0706713780918728</v>
      </c>
      <c r="M4" s="8">
        <f t="shared" si="9"/>
        <v>16.98</v>
      </c>
      <c r="N4" s="5">
        <v>68.959999999999994</v>
      </c>
      <c r="O4" s="1">
        <v>3.8</v>
      </c>
      <c r="P4" s="6">
        <v>12.7</v>
      </c>
      <c r="Q4" s="6">
        <v>0.48</v>
      </c>
      <c r="R4" s="7">
        <v>27.4</v>
      </c>
      <c r="S4" s="16" t="s">
        <v>2</v>
      </c>
      <c r="T4" s="2">
        <f t="shared" si="0"/>
        <v>0.95899999999999996</v>
      </c>
      <c r="U4" s="2">
        <f t="shared" si="1"/>
        <v>1.198</v>
      </c>
      <c r="V4" s="8">
        <f t="shared" si="2"/>
        <v>11.93</v>
      </c>
      <c r="W4" s="5">
        <f t="shared" si="3"/>
        <v>5.29</v>
      </c>
      <c r="X4" s="1">
        <f t="shared" si="4"/>
        <v>19.675999999999998</v>
      </c>
      <c r="Y4" s="6">
        <f t="shared" si="5"/>
        <v>9.8650000000000002</v>
      </c>
      <c r="Z4" s="6">
        <f t="shared" si="6"/>
        <v>5.2290000000000001</v>
      </c>
      <c r="AA4" s="7">
        <f t="shared" si="7"/>
        <v>8.1029999999999998</v>
      </c>
    </row>
    <row r="5" spans="1:27" ht="14.25" customHeight="1" x14ac:dyDescent="0.2">
      <c r="A5" s="16" t="s">
        <v>3</v>
      </c>
      <c r="B5" s="2">
        <f t="shared" si="10"/>
        <v>2.2621971830985914</v>
      </c>
      <c r="C5" s="2">
        <f t="shared" si="11"/>
        <v>1.1412394366197183</v>
      </c>
      <c r="D5" s="8">
        <f t="shared" si="8"/>
        <v>177.5</v>
      </c>
      <c r="E5" s="5">
        <v>379.87</v>
      </c>
      <c r="F5" s="6">
        <v>75.06</v>
      </c>
      <c r="G5" s="1">
        <v>100.06</v>
      </c>
      <c r="H5" s="6">
        <v>2.38</v>
      </c>
      <c r="I5" s="7">
        <v>221.9</v>
      </c>
      <c r="J5" s="16" t="s">
        <v>3</v>
      </c>
      <c r="K5" s="2">
        <f t="shared" si="12"/>
        <v>3.7741935483870961</v>
      </c>
      <c r="L5" s="2">
        <f t="shared" si="13"/>
        <v>1.8258064516129031</v>
      </c>
      <c r="M5" s="8">
        <f t="shared" si="9"/>
        <v>9.3000000000000007</v>
      </c>
      <c r="N5" s="5">
        <v>67.48</v>
      </c>
      <c r="O5" s="6">
        <v>3.79</v>
      </c>
      <c r="P5" s="1">
        <v>5.03</v>
      </c>
      <c r="Q5" s="6">
        <v>0.48</v>
      </c>
      <c r="R5" s="7">
        <v>27.22</v>
      </c>
      <c r="S5" s="16" t="s">
        <v>3</v>
      </c>
      <c r="T5" s="2">
        <f t="shared" si="0"/>
        <v>0.59899999999999998</v>
      </c>
      <c r="U5" s="2">
        <f t="shared" si="1"/>
        <v>0.625</v>
      </c>
      <c r="V5" s="8">
        <f t="shared" si="2"/>
        <v>19.085999999999999</v>
      </c>
      <c r="W5" s="5">
        <f t="shared" si="3"/>
        <v>5.6289999999999996</v>
      </c>
      <c r="X5" s="6">
        <f t="shared" si="4"/>
        <v>19.805</v>
      </c>
      <c r="Y5" s="1">
        <f t="shared" si="5"/>
        <v>19.893000000000001</v>
      </c>
      <c r="Z5" s="6">
        <f t="shared" si="6"/>
        <v>4.9580000000000002</v>
      </c>
      <c r="AA5" s="7">
        <f t="shared" si="7"/>
        <v>8.1519999999999992</v>
      </c>
    </row>
    <row r="6" spans="1:27" ht="14.25" customHeight="1" x14ac:dyDescent="0.2">
      <c r="A6" s="16" t="s">
        <v>4</v>
      </c>
      <c r="B6" s="5">
        <f t="shared" si="10"/>
        <v>2.3345348837209294</v>
      </c>
      <c r="C6" s="5">
        <f t="shared" si="11"/>
        <v>1.0319767441860463</v>
      </c>
      <c r="D6" s="4">
        <f t="shared" si="8"/>
        <v>172.00000000000003</v>
      </c>
      <c r="E6" s="5">
        <v>361.21</v>
      </c>
      <c r="F6" s="6">
        <v>73.44</v>
      </c>
      <c r="G6" s="6">
        <v>96.29</v>
      </c>
      <c r="H6" s="10">
        <v>2.27</v>
      </c>
      <c r="I6" s="3">
        <v>80.819999999999993</v>
      </c>
      <c r="J6" s="16" t="s">
        <v>4</v>
      </c>
      <c r="K6" s="5">
        <f t="shared" si="12"/>
        <v>3.7864077669902909</v>
      </c>
      <c r="L6" s="5">
        <f t="shared" si="13"/>
        <v>1.0032362459546926</v>
      </c>
      <c r="M6" s="4">
        <f t="shared" si="9"/>
        <v>9.27</v>
      </c>
      <c r="N6" s="5">
        <v>67.34</v>
      </c>
      <c r="O6" s="6">
        <v>3.79</v>
      </c>
      <c r="P6" s="6">
        <v>5</v>
      </c>
      <c r="Q6" s="10">
        <v>0.48</v>
      </c>
      <c r="R6" s="3">
        <v>4.5599999999999996</v>
      </c>
      <c r="S6" s="16" t="s">
        <v>4</v>
      </c>
      <c r="T6" s="5">
        <f t="shared" si="0"/>
        <v>0.61699999999999999</v>
      </c>
      <c r="U6" s="5">
        <f t="shared" si="1"/>
        <v>1.0289999999999999</v>
      </c>
      <c r="V6" s="4">
        <f t="shared" si="2"/>
        <v>18.553999999999998</v>
      </c>
      <c r="W6" s="5">
        <f t="shared" si="3"/>
        <v>5.3639999999999999</v>
      </c>
      <c r="X6" s="6">
        <f t="shared" si="4"/>
        <v>19.376999999999999</v>
      </c>
      <c r="Y6" s="6">
        <f t="shared" si="5"/>
        <v>19.257999999999999</v>
      </c>
      <c r="Z6" s="10">
        <f t="shared" si="6"/>
        <v>4.7290000000000001</v>
      </c>
      <c r="AA6" s="3">
        <f t="shared" si="7"/>
        <v>17.724</v>
      </c>
    </row>
    <row r="7" spans="1:27" ht="14.25" customHeight="1" x14ac:dyDescent="0.2">
      <c r="A7" s="16" t="s">
        <v>5</v>
      </c>
      <c r="B7" s="5">
        <f t="shared" si="10"/>
        <v>2.1703691692340952</v>
      </c>
      <c r="C7" s="5">
        <f t="shared" si="11"/>
        <v>0.92967947678503882</v>
      </c>
      <c r="D7" s="4">
        <f t="shared" si="8"/>
        <v>185.01</v>
      </c>
      <c r="E7" s="5">
        <v>377.51</v>
      </c>
      <c r="F7" s="6">
        <v>82.34</v>
      </c>
      <c r="G7" s="6">
        <v>101.48</v>
      </c>
      <c r="H7" s="1">
        <v>1.19</v>
      </c>
      <c r="I7" s="7">
        <v>82.8</v>
      </c>
      <c r="J7" s="16" t="s">
        <v>5</v>
      </c>
      <c r="K7" s="5">
        <f t="shared" si="12"/>
        <v>3.908685968819599</v>
      </c>
      <c r="L7" s="5">
        <f t="shared" si="13"/>
        <v>1.0322939866369711</v>
      </c>
      <c r="M7" s="4">
        <f t="shared" si="9"/>
        <v>8.9799999999999986</v>
      </c>
      <c r="N7" s="5">
        <v>77.61</v>
      </c>
      <c r="O7" s="6">
        <v>3.68</v>
      </c>
      <c r="P7" s="6">
        <v>5.0999999999999996</v>
      </c>
      <c r="Q7" s="1">
        <v>0.2</v>
      </c>
      <c r="R7" s="7">
        <v>4.57</v>
      </c>
      <c r="S7" s="16" t="s">
        <v>5</v>
      </c>
      <c r="T7" s="5">
        <f t="shared" si="0"/>
        <v>0.55500000000000005</v>
      </c>
      <c r="U7" s="5">
        <f t="shared" si="1"/>
        <v>0.90100000000000002</v>
      </c>
      <c r="V7" s="4">
        <f t="shared" si="2"/>
        <v>20.602</v>
      </c>
      <c r="W7" s="5">
        <f t="shared" si="3"/>
        <v>4.8639999999999999</v>
      </c>
      <c r="X7" s="6">
        <f t="shared" si="4"/>
        <v>22.375</v>
      </c>
      <c r="Y7" s="6">
        <f t="shared" si="5"/>
        <v>19.898</v>
      </c>
      <c r="Z7" s="1">
        <f t="shared" si="6"/>
        <v>5.95</v>
      </c>
      <c r="AA7" s="7">
        <f t="shared" si="7"/>
        <v>18.117999999999999</v>
      </c>
    </row>
    <row r="8" spans="1:27" ht="14.25" customHeight="1" x14ac:dyDescent="0.2">
      <c r="A8" s="16" t="s">
        <v>6</v>
      </c>
      <c r="B8" s="5">
        <f t="shared" si="10"/>
        <v>2.1691966938577059</v>
      </c>
      <c r="C8" s="5">
        <f t="shared" si="11"/>
        <v>0.99945978067095231</v>
      </c>
      <c r="D8" s="4">
        <f t="shared" si="8"/>
        <v>185.11</v>
      </c>
      <c r="E8" s="5">
        <v>492.18</v>
      </c>
      <c r="F8" s="6">
        <v>82.65</v>
      </c>
      <c r="G8" s="6">
        <v>101.41</v>
      </c>
      <c r="H8" s="6">
        <v>1.05</v>
      </c>
      <c r="I8" s="7">
        <v>82.93</v>
      </c>
      <c r="J8" s="16" t="s">
        <v>6</v>
      </c>
      <c r="K8" s="5">
        <f t="shared" si="12"/>
        <v>3.9795918367346932</v>
      </c>
      <c r="L8" s="5">
        <f t="shared" si="13"/>
        <v>1.0181405895691609</v>
      </c>
      <c r="M8" s="4">
        <f t="shared" si="9"/>
        <v>8.82</v>
      </c>
      <c r="N8" s="5">
        <v>96.53</v>
      </c>
      <c r="O8" s="6">
        <v>3.62</v>
      </c>
      <c r="P8" s="6">
        <v>5</v>
      </c>
      <c r="Q8" s="6">
        <v>0.2</v>
      </c>
      <c r="R8" s="7">
        <v>4.47</v>
      </c>
      <c r="S8" s="16" t="s">
        <v>6</v>
      </c>
      <c r="T8" s="5">
        <f t="shared" si="0"/>
        <v>0.54500000000000004</v>
      </c>
      <c r="U8" s="5">
        <f t="shared" si="1"/>
        <v>0.98199999999999998</v>
      </c>
      <c r="V8" s="4">
        <f t="shared" si="2"/>
        <v>20.988</v>
      </c>
      <c r="W8" s="5">
        <f t="shared" si="3"/>
        <v>5.0990000000000002</v>
      </c>
      <c r="X8" s="6">
        <f t="shared" si="4"/>
        <v>22.831</v>
      </c>
      <c r="Y8" s="6">
        <f t="shared" si="5"/>
        <v>20.282</v>
      </c>
      <c r="Z8" s="6">
        <f t="shared" si="6"/>
        <v>5.25</v>
      </c>
      <c r="AA8" s="7">
        <f t="shared" si="7"/>
        <v>18.553000000000001</v>
      </c>
    </row>
    <row r="9" spans="1:27" ht="14.25" customHeight="1" x14ac:dyDescent="0.2">
      <c r="A9" s="16" t="s">
        <v>7</v>
      </c>
      <c r="B9" s="5">
        <f t="shared" si="10"/>
        <v>2.2096632181377944</v>
      </c>
      <c r="C9" s="5">
        <f t="shared" si="11"/>
        <v>1.0186550737398197</v>
      </c>
      <c r="D9" s="4">
        <f t="shared" si="8"/>
        <v>181.71999999999997</v>
      </c>
      <c r="E9" s="5">
        <v>489.21</v>
      </c>
      <c r="F9" s="6">
        <v>81.44</v>
      </c>
      <c r="G9" s="6">
        <v>99.21</v>
      </c>
      <c r="H9" s="6">
        <v>1.07</v>
      </c>
      <c r="I9" s="7">
        <v>80.959999999999994</v>
      </c>
      <c r="J9" s="16" t="s">
        <v>7</v>
      </c>
      <c r="K9" s="5">
        <f t="shared" si="12"/>
        <v>4.0391254315304943</v>
      </c>
      <c r="L9" s="5">
        <f t="shared" si="13"/>
        <v>1.0149597238204835</v>
      </c>
      <c r="M9" s="4">
        <f t="shared" si="9"/>
        <v>8.69</v>
      </c>
      <c r="N9" s="5">
        <v>91.73</v>
      </c>
      <c r="O9" s="6">
        <v>3.57</v>
      </c>
      <c r="P9" s="6">
        <v>4.92</v>
      </c>
      <c r="Q9" s="6">
        <v>0.2</v>
      </c>
      <c r="R9" s="7">
        <v>4.4400000000000004</v>
      </c>
      <c r="S9" s="16" t="s">
        <v>7</v>
      </c>
      <c r="T9" s="5">
        <f t="shared" si="0"/>
        <v>0.54700000000000004</v>
      </c>
      <c r="U9" s="5">
        <f t="shared" si="1"/>
        <v>1.004</v>
      </c>
      <c r="V9" s="4">
        <f t="shared" si="2"/>
        <v>20.911000000000001</v>
      </c>
      <c r="W9" s="5">
        <f t="shared" si="3"/>
        <v>5.3330000000000002</v>
      </c>
      <c r="X9" s="6">
        <f t="shared" si="4"/>
        <v>22.812000000000001</v>
      </c>
      <c r="Y9" s="6">
        <f t="shared" si="5"/>
        <v>20.164999999999999</v>
      </c>
      <c r="Z9" s="6">
        <f t="shared" si="6"/>
        <v>5.35</v>
      </c>
      <c r="AA9" s="7">
        <f t="shared" si="7"/>
        <v>18.234000000000002</v>
      </c>
    </row>
    <row r="10" spans="1:27" ht="14.25" customHeight="1" x14ac:dyDescent="0.2">
      <c r="A10" s="16" t="s">
        <v>8</v>
      </c>
      <c r="B10" s="5">
        <f t="shared" si="10"/>
        <v>2.2138052707023927</v>
      </c>
      <c r="C10" s="5">
        <f t="shared" si="11"/>
        <v>1.0018745175873855</v>
      </c>
      <c r="D10" s="4">
        <f t="shared" si="8"/>
        <v>181.38</v>
      </c>
      <c r="E10" s="2">
        <v>249.29</v>
      </c>
      <c r="F10" s="6">
        <v>81.16</v>
      </c>
      <c r="G10" s="6">
        <v>99</v>
      </c>
      <c r="H10" s="10">
        <v>1.22</v>
      </c>
      <c r="I10" s="7">
        <v>80.72</v>
      </c>
      <c r="J10" s="16" t="s">
        <v>8</v>
      </c>
      <c r="K10" s="5">
        <f t="shared" si="12"/>
        <v>3.9705882352941169</v>
      </c>
      <c r="L10" s="5">
        <f t="shared" si="13"/>
        <v>0.98303167420814475</v>
      </c>
      <c r="M10" s="4">
        <f t="shared" si="9"/>
        <v>8.84</v>
      </c>
      <c r="N10" s="2">
        <v>76.53</v>
      </c>
      <c r="O10" s="6">
        <v>3.62</v>
      </c>
      <c r="P10" s="6">
        <v>5.0199999999999996</v>
      </c>
      <c r="Q10" s="10">
        <v>0.2</v>
      </c>
      <c r="R10" s="7">
        <v>4.54</v>
      </c>
      <c r="S10" s="16" t="s">
        <v>8</v>
      </c>
      <c r="T10" s="5">
        <f t="shared" si="0"/>
        <v>0.55800000000000005</v>
      </c>
      <c r="U10" s="5">
        <f t="shared" si="1"/>
        <v>1.0189999999999999</v>
      </c>
      <c r="V10" s="4">
        <f t="shared" si="2"/>
        <v>20.518000000000001</v>
      </c>
      <c r="W10" s="2">
        <f t="shared" si="3"/>
        <v>3.2570000000000001</v>
      </c>
      <c r="X10" s="6">
        <f t="shared" si="4"/>
        <v>22.42</v>
      </c>
      <c r="Y10" s="6">
        <f t="shared" si="5"/>
        <v>19.721</v>
      </c>
      <c r="Z10" s="10">
        <f t="shared" si="6"/>
        <v>6.1</v>
      </c>
      <c r="AA10" s="7">
        <f t="shared" si="7"/>
        <v>17.78</v>
      </c>
    </row>
    <row r="11" spans="1:27" ht="14.25" customHeight="1" x14ac:dyDescent="0.2">
      <c r="A11" s="16" t="s">
        <v>9</v>
      </c>
      <c r="B11" s="2">
        <f t="shared" si="10"/>
        <v>2.7188028979619472</v>
      </c>
      <c r="C11" s="2">
        <f t="shared" si="11"/>
        <v>1.2281129392646759</v>
      </c>
      <c r="D11" s="8">
        <f t="shared" si="8"/>
        <v>147.69</v>
      </c>
      <c r="E11" s="5">
        <v>215.95</v>
      </c>
      <c r="F11" s="1">
        <v>43.93</v>
      </c>
      <c r="G11" s="6">
        <v>102.58</v>
      </c>
      <c r="H11" s="6">
        <v>1.18</v>
      </c>
      <c r="I11" s="9">
        <v>90.86</v>
      </c>
      <c r="J11" s="16" t="s">
        <v>9</v>
      </c>
      <c r="K11" s="2">
        <f t="shared" si="12"/>
        <v>4.3120393120393112</v>
      </c>
      <c r="L11" s="2">
        <f t="shared" si="13"/>
        <v>1.085995085995086</v>
      </c>
      <c r="M11" s="8">
        <f t="shared" si="9"/>
        <v>8.14</v>
      </c>
      <c r="N11" s="5">
        <v>76.48</v>
      </c>
      <c r="O11" s="1">
        <v>1.45</v>
      </c>
      <c r="P11" s="6">
        <v>6.49</v>
      </c>
      <c r="Q11" s="6">
        <v>0.2</v>
      </c>
      <c r="R11" s="9">
        <v>6.06</v>
      </c>
      <c r="S11" s="16" t="s">
        <v>9</v>
      </c>
      <c r="T11" s="2">
        <f t="shared" si="0"/>
        <v>0.63100000000000001</v>
      </c>
      <c r="U11" s="2">
        <f t="shared" si="1"/>
        <v>1.131</v>
      </c>
      <c r="V11" s="8">
        <f t="shared" si="2"/>
        <v>18.143999999999998</v>
      </c>
      <c r="W11" s="5">
        <f t="shared" si="3"/>
        <v>2.8239999999999998</v>
      </c>
      <c r="X11" s="1">
        <f t="shared" si="4"/>
        <v>30.297000000000001</v>
      </c>
      <c r="Y11" s="6">
        <f t="shared" si="5"/>
        <v>15.805999999999999</v>
      </c>
      <c r="Z11" s="6">
        <f t="shared" si="6"/>
        <v>5.9</v>
      </c>
      <c r="AA11" s="9">
        <f t="shared" si="7"/>
        <v>14.993</v>
      </c>
    </row>
    <row r="12" spans="1:27" ht="14.25" customHeight="1" x14ac:dyDescent="0.2">
      <c r="A12" s="16" t="s">
        <v>10</v>
      </c>
      <c r="B12" s="2">
        <f t="shared" si="10"/>
        <v>2.9416849816849813</v>
      </c>
      <c r="C12" s="2">
        <f t="shared" si="11"/>
        <v>1.081978021978022</v>
      </c>
      <c r="D12" s="8">
        <f t="shared" si="8"/>
        <v>136.5</v>
      </c>
      <c r="E12" s="5">
        <v>217.24</v>
      </c>
      <c r="F12" s="10">
        <v>45.28</v>
      </c>
      <c r="G12" s="1">
        <v>90.1</v>
      </c>
      <c r="H12" s="6">
        <v>1.1200000000000001</v>
      </c>
      <c r="I12" s="3">
        <v>73.63</v>
      </c>
      <c r="J12" s="16" t="s">
        <v>10</v>
      </c>
      <c r="K12" s="2">
        <f t="shared" si="12"/>
        <v>5.5802861685214618</v>
      </c>
      <c r="L12" s="2">
        <f t="shared" si="13"/>
        <v>1.2941176470588236</v>
      </c>
      <c r="M12" s="8">
        <f t="shared" si="9"/>
        <v>6.29</v>
      </c>
      <c r="N12" s="5">
        <v>75.3</v>
      </c>
      <c r="O12" s="10">
        <v>1.27</v>
      </c>
      <c r="P12" s="1">
        <v>4.82</v>
      </c>
      <c r="Q12" s="6">
        <v>0.2</v>
      </c>
      <c r="R12" s="3">
        <v>4.05</v>
      </c>
      <c r="S12" s="16" t="s">
        <v>10</v>
      </c>
      <c r="T12" s="2">
        <f t="shared" si="0"/>
        <v>0.52700000000000002</v>
      </c>
      <c r="U12" s="2">
        <f t="shared" si="1"/>
        <v>0.83599999999999997</v>
      </c>
      <c r="V12" s="8">
        <f t="shared" si="2"/>
        <v>21.701000000000001</v>
      </c>
      <c r="W12" s="5">
        <f t="shared" si="3"/>
        <v>2.8849999999999998</v>
      </c>
      <c r="X12" s="10">
        <f t="shared" si="4"/>
        <v>35.654000000000003</v>
      </c>
      <c r="Y12" s="1">
        <f t="shared" si="5"/>
        <v>18.693000000000001</v>
      </c>
      <c r="Z12" s="6">
        <f t="shared" si="6"/>
        <v>5.6</v>
      </c>
      <c r="AA12" s="3">
        <f t="shared" si="7"/>
        <v>18.18</v>
      </c>
    </row>
    <row r="13" spans="1:27" ht="14.25" customHeight="1" x14ac:dyDescent="0.2">
      <c r="A13" s="17" t="s">
        <v>22</v>
      </c>
      <c r="B13" s="2">
        <f t="shared" ref="B13:B14" si="14">D$2/D13</f>
        <v>3.4176525661758448</v>
      </c>
      <c r="C13" s="2">
        <f t="shared" ref="C13:C14" si="15">D12/D13</f>
        <v>1.1618010043407949</v>
      </c>
      <c r="D13" s="8">
        <f t="shared" si="8"/>
        <v>117.49</v>
      </c>
      <c r="E13" s="5">
        <v>217.95</v>
      </c>
      <c r="F13" s="1">
        <v>26.86</v>
      </c>
      <c r="G13" s="10">
        <v>89.56</v>
      </c>
      <c r="H13" s="6">
        <v>1.07</v>
      </c>
      <c r="I13" s="9">
        <v>73.39</v>
      </c>
      <c r="J13" s="17" t="s">
        <v>22</v>
      </c>
      <c r="K13" s="2">
        <f t="shared" ref="K13:K14" si="16">M$2/M13</f>
        <v>5.8892617449664417</v>
      </c>
      <c r="L13" s="2">
        <f t="shared" ref="L13:L14" si="17">M12/M13</f>
        <v>1.0553691275167785</v>
      </c>
      <c r="M13" s="8">
        <f t="shared" si="9"/>
        <v>5.96</v>
      </c>
      <c r="N13" s="5">
        <v>75.64</v>
      </c>
      <c r="O13" s="1">
        <v>0.89</v>
      </c>
      <c r="P13" s="10">
        <v>4.87</v>
      </c>
      <c r="Q13" s="6">
        <v>0.2</v>
      </c>
      <c r="R13" s="9">
        <v>4.08</v>
      </c>
      <c r="S13" s="17" t="s">
        <v>22</v>
      </c>
      <c r="T13" s="2">
        <f t="shared" si="0"/>
        <v>0.57999999999999996</v>
      </c>
      <c r="U13" s="2">
        <f t="shared" si="1"/>
        <v>1.101</v>
      </c>
      <c r="V13" s="8">
        <f t="shared" si="2"/>
        <v>19.713000000000001</v>
      </c>
      <c r="W13" s="5">
        <f t="shared" si="3"/>
        <v>2.8809999999999998</v>
      </c>
      <c r="X13" s="1">
        <f t="shared" si="4"/>
        <v>30.18</v>
      </c>
      <c r="Y13" s="10">
        <f t="shared" si="5"/>
        <v>18.39</v>
      </c>
      <c r="Z13" s="6">
        <f t="shared" si="6"/>
        <v>5.35</v>
      </c>
      <c r="AA13" s="9">
        <f t="shared" si="7"/>
        <v>17.988</v>
      </c>
    </row>
    <row r="14" spans="1:27" ht="14.25" customHeight="1" x14ac:dyDescent="0.2">
      <c r="A14" s="18" t="s">
        <v>23</v>
      </c>
      <c r="B14" s="5">
        <f t="shared" si="14"/>
        <v>3.4684287812041115</v>
      </c>
      <c r="C14" s="5">
        <f t="shared" si="15"/>
        <v>1.0148570441392415</v>
      </c>
      <c r="D14" s="4">
        <f t="shared" si="8"/>
        <v>115.77</v>
      </c>
      <c r="E14" s="5">
        <v>217.66</v>
      </c>
      <c r="F14" s="1">
        <v>25.05</v>
      </c>
      <c r="G14" s="10">
        <v>89.65</v>
      </c>
      <c r="H14" s="6">
        <v>1.07</v>
      </c>
      <c r="I14" s="9">
        <v>73.08</v>
      </c>
      <c r="J14" s="18" t="s">
        <v>23</v>
      </c>
      <c r="K14" s="5">
        <f t="shared" si="16"/>
        <v>5.9795570698466767</v>
      </c>
      <c r="L14" s="5">
        <f t="shared" si="17"/>
        <v>1.0153321976149914</v>
      </c>
      <c r="M14" s="4">
        <f t="shared" si="9"/>
        <v>5.87</v>
      </c>
      <c r="N14" s="5">
        <v>76.8</v>
      </c>
      <c r="O14" s="1">
        <v>0.85</v>
      </c>
      <c r="P14" s="10">
        <v>4.83</v>
      </c>
      <c r="Q14" s="6">
        <v>0.19</v>
      </c>
      <c r="R14" s="9">
        <v>4.0199999999999996</v>
      </c>
      <c r="S14" s="18" t="s">
        <v>23</v>
      </c>
      <c r="T14" s="5">
        <f t="shared" si="0"/>
        <v>0.57999999999999996</v>
      </c>
      <c r="U14" s="5">
        <f t="shared" si="1"/>
        <v>1</v>
      </c>
      <c r="V14" s="4">
        <f t="shared" si="2"/>
        <v>19.722000000000001</v>
      </c>
      <c r="W14" s="5">
        <f t="shared" si="3"/>
        <v>2.8340000000000001</v>
      </c>
      <c r="X14" s="1">
        <f t="shared" si="4"/>
        <v>29.471</v>
      </c>
      <c r="Y14" s="10">
        <f t="shared" si="5"/>
        <v>18.561</v>
      </c>
      <c r="Z14" s="6">
        <f t="shared" si="6"/>
        <v>5.6319999999999997</v>
      </c>
      <c r="AA14" s="9">
        <f t="shared" si="7"/>
        <v>18.178999999999998</v>
      </c>
    </row>
    <row r="15" spans="1:27" ht="14.25" customHeight="1" x14ac:dyDescent="0.2">
      <c r="A15" s="18" t="s">
        <v>25</v>
      </c>
      <c r="B15" s="2">
        <f t="shared" ref="B15" si="18">D$2/D15</f>
        <v>4.1558683502380456</v>
      </c>
      <c r="C15" s="2">
        <f t="shared" ref="C15" si="19">D14/D15</f>
        <v>1.1981991306147797</v>
      </c>
      <c r="D15" s="8">
        <f t="shared" si="8"/>
        <v>96.61999999999999</v>
      </c>
      <c r="E15" s="5">
        <v>223.25</v>
      </c>
      <c r="F15" s="10">
        <v>24.74</v>
      </c>
      <c r="G15" s="1">
        <v>70.88</v>
      </c>
      <c r="H15" s="6">
        <v>1</v>
      </c>
      <c r="I15" s="3">
        <v>50.93</v>
      </c>
      <c r="J15" s="18" t="s">
        <v>25</v>
      </c>
      <c r="K15" s="2">
        <f t="shared" ref="K15" si="20">M$2/M15</f>
        <v>6.4640883977900545</v>
      </c>
      <c r="L15" s="2">
        <f t="shared" ref="L15" si="21">M14/M15</f>
        <v>1.0810313075506446</v>
      </c>
      <c r="M15" s="8">
        <f t="shared" si="9"/>
        <v>5.43</v>
      </c>
      <c r="N15" s="5">
        <v>76.180000000000007</v>
      </c>
      <c r="O15" s="10">
        <v>0.84</v>
      </c>
      <c r="P15" s="1">
        <v>4.38</v>
      </c>
      <c r="Q15" s="6">
        <v>0.21</v>
      </c>
      <c r="R15" s="3">
        <v>3.75</v>
      </c>
      <c r="S15" s="18" t="s">
        <v>25</v>
      </c>
      <c r="T15" s="2">
        <f t="shared" si="0"/>
        <v>0.64300000000000002</v>
      </c>
      <c r="U15" s="2">
        <f t="shared" si="1"/>
        <v>1.1080000000000001</v>
      </c>
      <c r="V15" s="8">
        <f t="shared" si="2"/>
        <v>17.794</v>
      </c>
      <c r="W15" s="5">
        <f t="shared" si="3"/>
        <v>2.931</v>
      </c>
      <c r="X15" s="10">
        <f t="shared" si="4"/>
        <v>29.452000000000002</v>
      </c>
      <c r="Y15" s="1">
        <f t="shared" si="5"/>
        <v>16.183</v>
      </c>
      <c r="Z15" s="6">
        <f t="shared" si="6"/>
        <v>4.7619999999999996</v>
      </c>
      <c r="AA15" s="3">
        <f t="shared" si="7"/>
        <v>13.581</v>
      </c>
    </row>
    <row r="16" spans="1:27" ht="14.25" customHeight="1" x14ac:dyDescent="0.2">
      <c r="A16" s="18" t="s">
        <v>27</v>
      </c>
      <c r="B16" s="5">
        <f t="shared" ref="B16" si="22">D$2/D16</f>
        <v>4.1264001644229786</v>
      </c>
      <c r="C16" s="5">
        <f t="shared" ref="C16" si="23">D15/D16</f>
        <v>0.99290925906895489</v>
      </c>
      <c r="D16" s="4">
        <f t="shared" si="8"/>
        <v>97.309999999999988</v>
      </c>
      <c r="E16" s="19">
        <v>213.73</v>
      </c>
      <c r="F16" s="11">
        <v>25.4</v>
      </c>
      <c r="G16" s="11">
        <v>70.92</v>
      </c>
      <c r="H16" s="11">
        <v>0.99</v>
      </c>
      <c r="I16" s="12">
        <v>50.22</v>
      </c>
      <c r="J16" s="18" t="s">
        <v>27</v>
      </c>
      <c r="K16" s="5">
        <f t="shared" ref="K16" si="24">M$2/M16</f>
        <v>6.3818181818181809</v>
      </c>
      <c r="L16" s="5">
        <f t="shared" ref="L16" si="25">M15/M16</f>
        <v>0.98727272727272719</v>
      </c>
      <c r="M16" s="4">
        <f t="shared" si="9"/>
        <v>5.5</v>
      </c>
      <c r="N16" s="1">
        <v>11.43</v>
      </c>
      <c r="O16" s="6">
        <v>0.87</v>
      </c>
      <c r="P16" s="6">
        <v>4.43</v>
      </c>
      <c r="Q16" s="6">
        <v>0.2</v>
      </c>
      <c r="R16" s="7">
        <v>3.75</v>
      </c>
      <c r="S16" s="18" t="s">
        <v>27</v>
      </c>
      <c r="T16" s="2">
        <f t="shared" si="0"/>
        <v>0.64700000000000002</v>
      </c>
      <c r="U16" s="2">
        <f t="shared" si="1"/>
        <v>1.006</v>
      </c>
      <c r="V16" s="8">
        <f t="shared" si="2"/>
        <v>17.693000000000001</v>
      </c>
      <c r="W16" s="2">
        <f t="shared" si="3"/>
        <v>18.699000000000002</v>
      </c>
      <c r="X16" s="10">
        <f t="shared" si="4"/>
        <v>29.195</v>
      </c>
      <c r="Y16" s="1">
        <f t="shared" si="5"/>
        <v>16.009</v>
      </c>
      <c r="Z16" s="6">
        <f t="shared" si="6"/>
        <v>4.95</v>
      </c>
      <c r="AA16" s="3">
        <f t="shared" si="7"/>
        <v>13.391999999999999</v>
      </c>
    </row>
    <row r="17" spans="10:18" ht="14.25" customHeight="1" x14ac:dyDescent="0.2">
      <c r="J17" s="16"/>
      <c r="K17" s="6"/>
      <c r="L17" s="6"/>
      <c r="M17" s="6"/>
      <c r="N17" s="6"/>
      <c r="O17" s="6"/>
      <c r="P17" s="6"/>
      <c r="Q17" s="6"/>
      <c r="R17" s="7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6226A-ABDF-4A08-82A9-477B53B06893}">
  <dimension ref="A1:Q102"/>
  <sheetViews>
    <sheetView topLeftCell="A49" workbookViewId="0">
      <selection activeCell="H50" sqref="H50"/>
    </sheetView>
  </sheetViews>
  <sheetFormatPr defaultRowHeight="14.25" x14ac:dyDescent="0.2"/>
  <sheetData>
    <row r="1" spans="1:17" x14ac:dyDescent="0.2">
      <c r="A1" t="s">
        <v>33</v>
      </c>
      <c r="B1" t="s">
        <v>33</v>
      </c>
      <c r="C1" t="s">
        <v>33</v>
      </c>
      <c r="D1" t="s">
        <v>33</v>
      </c>
      <c r="E1" t="s">
        <v>33</v>
      </c>
      <c r="F1" t="s">
        <v>33</v>
      </c>
      <c r="G1" t="s">
        <v>33</v>
      </c>
      <c r="H1" t="s">
        <v>33</v>
      </c>
      <c r="I1" t="s">
        <v>33</v>
      </c>
      <c r="J1" t="s">
        <v>33</v>
      </c>
      <c r="K1" t="s">
        <v>33</v>
      </c>
      <c r="L1" t="s">
        <v>33</v>
      </c>
      <c r="M1" t="s">
        <v>33</v>
      </c>
      <c r="N1" t="s">
        <v>33</v>
      </c>
      <c r="O1" t="s">
        <v>33</v>
      </c>
      <c r="P1" t="s">
        <v>33</v>
      </c>
      <c r="Q1" t="s">
        <v>33</v>
      </c>
    </row>
    <row r="2" spans="1:17" x14ac:dyDescent="0.2">
      <c r="A2">
        <v>9919</v>
      </c>
      <c r="B2">
        <v>219.036</v>
      </c>
      <c r="C2" t="s">
        <v>30</v>
      </c>
      <c r="D2">
        <v>6.2E-2</v>
      </c>
      <c r="E2" t="s">
        <v>31</v>
      </c>
      <c r="F2">
        <v>8.6999999999999994E-2</v>
      </c>
      <c r="G2" t="s">
        <v>11</v>
      </c>
      <c r="H2">
        <v>34.073</v>
      </c>
      <c r="I2" t="s">
        <v>12</v>
      </c>
      <c r="J2">
        <v>97.314999999999998</v>
      </c>
      <c r="K2" t="s">
        <v>32</v>
      </c>
      <c r="L2">
        <v>16.395</v>
      </c>
      <c r="M2" t="s">
        <v>13</v>
      </c>
      <c r="N2">
        <v>136.66999999999999</v>
      </c>
      <c r="O2" t="s">
        <v>28</v>
      </c>
    </row>
    <row r="3" spans="1:17" x14ac:dyDescent="0.2">
      <c r="A3">
        <v>9903</v>
      </c>
      <c r="B3">
        <v>217.83199999999999</v>
      </c>
      <c r="C3" t="s">
        <v>30</v>
      </c>
      <c r="D3">
        <v>5.8999999999999997E-2</v>
      </c>
      <c r="E3" t="s">
        <v>31</v>
      </c>
      <c r="F3">
        <v>0.21099999999999999</v>
      </c>
      <c r="G3" t="s">
        <v>11</v>
      </c>
      <c r="H3">
        <v>44.164000000000001</v>
      </c>
      <c r="I3" t="s">
        <v>12</v>
      </c>
      <c r="J3">
        <v>100.629</v>
      </c>
      <c r="K3" t="s">
        <v>32</v>
      </c>
      <c r="L3">
        <v>6.5000000000000002E-2</v>
      </c>
      <c r="M3" t="s">
        <v>28</v>
      </c>
    </row>
    <row r="4" spans="1:17" x14ac:dyDescent="0.2">
      <c r="A4">
        <v>9927</v>
      </c>
      <c r="B4">
        <v>220.21799999999999</v>
      </c>
      <c r="C4" t="s">
        <v>30</v>
      </c>
      <c r="D4">
        <v>5.8999999999999997E-2</v>
      </c>
      <c r="E4" t="s">
        <v>31</v>
      </c>
      <c r="F4">
        <v>0.26500000000000001</v>
      </c>
      <c r="G4" t="s">
        <v>11</v>
      </c>
      <c r="H4">
        <v>49.726999999999997</v>
      </c>
      <c r="I4" t="s">
        <v>12</v>
      </c>
      <c r="J4">
        <v>102.742</v>
      </c>
      <c r="K4" t="s">
        <v>32</v>
      </c>
      <c r="L4">
        <v>0.73299999999999998</v>
      </c>
      <c r="M4" t="s">
        <v>13</v>
      </c>
      <c r="N4">
        <v>134.36699999999999</v>
      </c>
      <c r="O4" t="s">
        <v>28</v>
      </c>
    </row>
    <row r="5" spans="1:17" x14ac:dyDescent="0.2">
      <c r="A5">
        <v>9983</v>
      </c>
      <c r="B5">
        <v>1108.6300000000001</v>
      </c>
      <c r="C5" t="s">
        <v>30</v>
      </c>
      <c r="D5">
        <v>0.109</v>
      </c>
      <c r="E5" t="s">
        <v>31</v>
      </c>
      <c r="F5">
        <v>0.17799999999999999</v>
      </c>
      <c r="G5" t="s">
        <v>11</v>
      </c>
      <c r="H5">
        <v>59.207999999999998</v>
      </c>
      <c r="I5" t="s">
        <v>12</v>
      </c>
      <c r="J5">
        <v>181.86799999999999</v>
      </c>
      <c r="K5" t="s">
        <v>32</v>
      </c>
      <c r="L5">
        <v>27.983000000000001</v>
      </c>
      <c r="M5" t="s">
        <v>13</v>
      </c>
      <c r="N5">
        <v>702.64499999999998</v>
      </c>
      <c r="O5" t="s">
        <v>28</v>
      </c>
    </row>
    <row r="6" spans="1:17" x14ac:dyDescent="0.2">
      <c r="A6">
        <v>9935</v>
      </c>
      <c r="B6">
        <v>1088.848</v>
      </c>
      <c r="C6" t="s">
        <v>30</v>
      </c>
      <c r="D6">
        <v>0.108</v>
      </c>
      <c r="E6" t="s">
        <v>31</v>
      </c>
      <c r="F6">
        <v>0.88100000000000001</v>
      </c>
      <c r="G6" t="s">
        <v>11</v>
      </c>
      <c r="H6">
        <v>77.597999999999999</v>
      </c>
      <c r="I6" t="s">
        <v>12</v>
      </c>
      <c r="J6">
        <v>179.95400000000001</v>
      </c>
      <c r="K6" t="s">
        <v>32</v>
      </c>
      <c r="L6">
        <v>1.6579999999999999</v>
      </c>
      <c r="M6" t="s">
        <v>13</v>
      </c>
      <c r="N6">
        <v>782.60900000000004</v>
      </c>
      <c r="O6" t="s">
        <v>28</v>
      </c>
    </row>
    <row r="7" spans="1:17" x14ac:dyDescent="0.2">
      <c r="A7">
        <v>9999</v>
      </c>
      <c r="B7">
        <v>1094.576</v>
      </c>
      <c r="C7" t="s">
        <v>30</v>
      </c>
      <c r="D7">
        <v>0.112</v>
      </c>
      <c r="E7" t="s">
        <v>31</v>
      </c>
      <c r="F7">
        <v>0.61799999999999999</v>
      </c>
      <c r="G7" t="s">
        <v>11</v>
      </c>
      <c r="H7">
        <v>79.326999999999998</v>
      </c>
      <c r="I7" t="s">
        <v>12</v>
      </c>
      <c r="J7">
        <v>185.82</v>
      </c>
      <c r="K7" t="s">
        <v>32</v>
      </c>
      <c r="L7">
        <v>3.137</v>
      </c>
      <c r="M7" t="s">
        <v>13</v>
      </c>
      <c r="N7">
        <v>608.697</v>
      </c>
      <c r="O7" t="s">
        <v>28</v>
      </c>
    </row>
    <row r="8" spans="1:17" x14ac:dyDescent="0.2">
      <c r="A8">
        <v>9915</v>
      </c>
      <c r="B8">
        <v>219.679</v>
      </c>
      <c r="C8" t="s">
        <v>30</v>
      </c>
      <c r="D8">
        <v>5.7000000000000002E-2</v>
      </c>
      <c r="E8" t="s">
        <v>31</v>
      </c>
      <c r="F8">
        <v>0.38200000000000001</v>
      </c>
      <c r="G8" t="s">
        <v>11</v>
      </c>
      <c r="H8">
        <v>80.709000000000003</v>
      </c>
      <c r="I8" t="s">
        <v>12</v>
      </c>
      <c r="J8">
        <v>112.83199999999999</v>
      </c>
      <c r="K8" t="s">
        <v>32</v>
      </c>
      <c r="L8">
        <v>3.4000000000000002E-2</v>
      </c>
      <c r="M8" t="s">
        <v>28</v>
      </c>
    </row>
    <row r="9" spans="1:17" x14ac:dyDescent="0.2">
      <c r="A9">
        <v>9967</v>
      </c>
      <c r="B9">
        <v>1119.96</v>
      </c>
      <c r="C9" t="s">
        <v>30</v>
      </c>
      <c r="D9">
        <v>0.126</v>
      </c>
      <c r="E9" t="s">
        <v>31</v>
      </c>
      <c r="F9">
        <v>0.72</v>
      </c>
      <c r="G9" t="s">
        <v>11</v>
      </c>
      <c r="H9">
        <v>98.391999999999996</v>
      </c>
      <c r="I9" t="s">
        <v>12</v>
      </c>
      <c r="J9">
        <v>380.51799999999997</v>
      </c>
      <c r="K9" t="s">
        <v>32</v>
      </c>
      <c r="L9">
        <v>4.3999999999999997E-2</v>
      </c>
      <c r="M9" t="s">
        <v>28</v>
      </c>
    </row>
    <row r="10" spans="1:17" x14ac:dyDescent="0.2">
      <c r="A10">
        <v>9943</v>
      </c>
      <c r="B10">
        <v>1069.046</v>
      </c>
      <c r="C10" t="s">
        <v>30</v>
      </c>
      <c r="D10">
        <v>0.108</v>
      </c>
      <c r="E10" t="s">
        <v>31</v>
      </c>
      <c r="F10">
        <v>1.3640000000000001</v>
      </c>
      <c r="G10" t="s">
        <v>11</v>
      </c>
      <c r="H10">
        <v>99.152000000000001</v>
      </c>
      <c r="I10" t="s">
        <v>12</v>
      </c>
      <c r="J10">
        <v>196.178</v>
      </c>
      <c r="K10" t="s">
        <v>32</v>
      </c>
      <c r="L10">
        <v>5.3999999999999999E-2</v>
      </c>
      <c r="M10" t="s">
        <v>28</v>
      </c>
    </row>
    <row r="11" spans="1:17" x14ac:dyDescent="0.2">
      <c r="A11">
        <v>9991</v>
      </c>
      <c r="B11">
        <v>1069.5609999999999</v>
      </c>
      <c r="C11" t="s">
        <v>30</v>
      </c>
      <c r="D11">
        <v>0.109</v>
      </c>
      <c r="E11" t="s">
        <v>31</v>
      </c>
      <c r="F11">
        <v>0.751</v>
      </c>
      <c r="G11" t="s">
        <v>11</v>
      </c>
      <c r="H11">
        <v>100.3</v>
      </c>
      <c r="I11" t="s">
        <v>12</v>
      </c>
      <c r="J11">
        <v>375.56</v>
      </c>
      <c r="K11" t="s">
        <v>32</v>
      </c>
      <c r="L11">
        <v>4.4999999999999998E-2</v>
      </c>
      <c r="M11" t="s">
        <v>28</v>
      </c>
    </row>
    <row r="12" spans="1:17" x14ac:dyDescent="0.2">
      <c r="A12">
        <v>9951</v>
      </c>
      <c r="B12">
        <v>1095.3119999999999</v>
      </c>
      <c r="C12" t="s">
        <v>30</v>
      </c>
      <c r="D12">
        <v>0.14299999999999999</v>
      </c>
      <c r="E12" t="s">
        <v>31</v>
      </c>
      <c r="F12">
        <v>0.56899999999999995</v>
      </c>
      <c r="G12" t="s">
        <v>11</v>
      </c>
      <c r="H12">
        <v>103.086</v>
      </c>
      <c r="I12" t="s">
        <v>12</v>
      </c>
      <c r="J12">
        <v>186.29300000000001</v>
      </c>
      <c r="K12" t="s">
        <v>32</v>
      </c>
      <c r="L12">
        <v>3.7999999999999999E-2</v>
      </c>
      <c r="M12" t="s">
        <v>28</v>
      </c>
    </row>
    <row r="13" spans="1:17" x14ac:dyDescent="0.2">
      <c r="A13">
        <v>9911</v>
      </c>
      <c r="B13">
        <v>950.19500000000005</v>
      </c>
      <c r="C13" t="s">
        <v>30</v>
      </c>
      <c r="D13">
        <v>0.115</v>
      </c>
      <c r="E13" t="s">
        <v>31</v>
      </c>
      <c r="F13">
        <v>1.462</v>
      </c>
      <c r="G13" t="s">
        <v>11</v>
      </c>
      <c r="H13">
        <v>105.358</v>
      </c>
      <c r="I13" t="s">
        <v>12</v>
      </c>
      <c r="J13">
        <v>194.51599999999999</v>
      </c>
      <c r="K13" t="s">
        <v>32</v>
      </c>
      <c r="L13">
        <v>0.91</v>
      </c>
      <c r="M13" t="s">
        <v>13</v>
      </c>
      <c r="N13">
        <v>598.93600000000004</v>
      </c>
      <c r="O13" t="s">
        <v>28</v>
      </c>
    </row>
    <row r="14" spans="1:17" x14ac:dyDescent="0.2">
      <c r="A14">
        <v>9931</v>
      </c>
      <c r="B14">
        <v>943.678</v>
      </c>
      <c r="C14" t="s">
        <v>30</v>
      </c>
      <c r="D14">
        <v>0.108</v>
      </c>
      <c r="E14" t="s">
        <v>31</v>
      </c>
      <c r="F14">
        <v>2.085</v>
      </c>
      <c r="G14" t="s">
        <v>11</v>
      </c>
      <c r="H14">
        <v>124.22499999999999</v>
      </c>
      <c r="I14" t="s">
        <v>12</v>
      </c>
      <c r="J14">
        <v>204.14400000000001</v>
      </c>
      <c r="K14" t="s">
        <v>32</v>
      </c>
      <c r="L14">
        <v>4.1000000000000002E-2</v>
      </c>
      <c r="M14" t="s">
        <v>28</v>
      </c>
    </row>
    <row r="15" spans="1:17" x14ac:dyDescent="0.2">
      <c r="A15">
        <v>9905</v>
      </c>
      <c r="B15">
        <v>220.523</v>
      </c>
      <c r="C15" t="s">
        <v>30</v>
      </c>
      <c r="D15">
        <v>6.3E-2</v>
      </c>
      <c r="E15" t="s">
        <v>31</v>
      </c>
      <c r="F15">
        <v>0.83</v>
      </c>
      <c r="G15" t="s">
        <v>11</v>
      </c>
      <c r="H15">
        <v>134.33699999999999</v>
      </c>
      <c r="I15" t="s">
        <v>12</v>
      </c>
      <c r="J15">
        <v>219.11199999999999</v>
      </c>
      <c r="K15" t="s">
        <v>32</v>
      </c>
      <c r="L15">
        <v>6.0090000000000003</v>
      </c>
      <c r="M15" t="s">
        <v>13</v>
      </c>
      <c r="N15">
        <v>664.64300000000003</v>
      </c>
      <c r="O15" t="s">
        <v>28</v>
      </c>
    </row>
    <row r="16" spans="1:17" x14ac:dyDescent="0.2">
      <c r="A16">
        <v>9945</v>
      </c>
      <c r="B16">
        <v>221.63200000000001</v>
      </c>
      <c r="C16" t="s">
        <v>30</v>
      </c>
      <c r="D16">
        <v>6.2E-2</v>
      </c>
      <c r="E16" t="s">
        <v>31</v>
      </c>
      <c r="F16">
        <v>0.68899999999999995</v>
      </c>
      <c r="G16" t="s">
        <v>11</v>
      </c>
      <c r="H16">
        <v>136.03700000000001</v>
      </c>
      <c r="I16" t="s">
        <v>12</v>
      </c>
      <c r="J16">
        <v>136.447</v>
      </c>
      <c r="K16" t="s">
        <v>32</v>
      </c>
      <c r="L16">
        <v>2.8000000000000001E-2</v>
      </c>
      <c r="M16" t="s">
        <v>28</v>
      </c>
    </row>
    <row r="17" spans="1:15" x14ac:dyDescent="0.2">
      <c r="A17">
        <v>9917</v>
      </c>
      <c r="B17">
        <v>224.14599999999999</v>
      </c>
      <c r="C17" t="s">
        <v>30</v>
      </c>
      <c r="D17">
        <v>5.1999999999999998E-2</v>
      </c>
      <c r="E17" t="s">
        <v>31</v>
      </c>
      <c r="F17">
        <v>0.44600000000000001</v>
      </c>
      <c r="G17" t="s">
        <v>11</v>
      </c>
      <c r="H17">
        <v>136.428</v>
      </c>
      <c r="I17" t="s">
        <v>12</v>
      </c>
      <c r="J17">
        <v>110.295</v>
      </c>
      <c r="K17" t="s">
        <v>32</v>
      </c>
      <c r="L17">
        <v>1.099</v>
      </c>
      <c r="M17" t="s">
        <v>13</v>
      </c>
      <c r="N17">
        <v>137.167</v>
      </c>
      <c r="O17" t="s">
        <v>28</v>
      </c>
    </row>
    <row r="18" spans="1:15" x14ac:dyDescent="0.2">
      <c r="A18">
        <v>9900</v>
      </c>
      <c r="B18">
        <v>0</v>
      </c>
      <c r="C18" t="s">
        <v>30</v>
      </c>
      <c r="D18">
        <v>367.072</v>
      </c>
      <c r="E18" t="s">
        <v>31</v>
      </c>
      <c r="F18">
        <v>1.306</v>
      </c>
      <c r="G18" t="s">
        <v>11</v>
      </c>
      <c r="H18">
        <v>137.22</v>
      </c>
      <c r="I18" t="s">
        <v>12</v>
      </c>
      <c r="J18">
        <v>111.29600000000001</v>
      </c>
      <c r="K18" t="s">
        <v>32</v>
      </c>
      <c r="L18">
        <v>0.06</v>
      </c>
      <c r="M18" t="s">
        <v>28</v>
      </c>
    </row>
    <row r="19" spans="1:15" x14ac:dyDescent="0.2">
      <c r="A19">
        <v>9914</v>
      </c>
      <c r="B19">
        <v>221.89500000000001</v>
      </c>
      <c r="C19" t="s">
        <v>30</v>
      </c>
      <c r="D19">
        <v>6.2E-2</v>
      </c>
      <c r="E19" t="s">
        <v>31</v>
      </c>
      <c r="F19">
        <v>1.0509999999999999</v>
      </c>
      <c r="G19" t="s">
        <v>11</v>
      </c>
      <c r="H19">
        <v>137.41300000000001</v>
      </c>
      <c r="I19" t="s">
        <v>12</v>
      </c>
      <c r="J19">
        <v>116.036</v>
      </c>
      <c r="K19" t="s">
        <v>32</v>
      </c>
      <c r="L19">
        <v>0.13500000000000001</v>
      </c>
      <c r="M19" t="s">
        <v>13</v>
      </c>
      <c r="N19">
        <v>138.041</v>
      </c>
      <c r="O19" t="s">
        <v>28</v>
      </c>
    </row>
    <row r="20" spans="1:15" x14ac:dyDescent="0.2">
      <c r="A20">
        <v>9904</v>
      </c>
      <c r="B20">
        <v>217.22</v>
      </c>
      <c r="C20" t="s">
        <v>30</v>
      </c>
      <c r="D20">
        <v>0.06</v>
      </c>
      <c r="E20" t="s">
        <v>31</v>
      </c>
      <c r="F20">
        <v>0.91500000000000004</v>
      </c>
      <c r="G20" t="s">
        <v>11</v>
      </c>
      <c r="H20">
        <v>137.60300000000001</v>
      </c>
      <c r="I20" t="s">
        <v>12</v>
      </c>
      <c r="J20">
        <v>113.041</v>
      </c>
      <c r="K20" t="s">
        <v>32</v>
      </c>
      <c r="L20">
        <v>0.14099999999999999</v>
      </c>
      <c r="M20" t="s">
        <v>13</v>
      </c>
      <c r="N20">
        <v>138.215</v>
      </c>
      <c r="O20" t="s">
        <v>28</v>
      </c>
    </row>
    <row r="21" spans="1:15" x14ac:dyDescent="0.2">
      <c r="A21">
        <v>9929</v>
      </c>
      <c r="B21">
        <v>221.92500000000001</v>
      </c>
      <c r="C21" t="s">
        <v>30</v>
      </c>
      <c r="D21">
        <v>5.6000000000000001E-2</v>
      </c>
      <c r="E21" t="s">
        <v>31</v>
      </c>
      <c r="F21">
        <v>0.74</v>
      </c>
      <c r="G21" t="s">
        <v>11</v>
      </c>
      <c r="H21">
        <v>138.68199999999999</v>
      </c>
      <c r="I21" t="s">
        <v>12</v>
      </c>
      <c r="J21">
        <v>105.206</v>
      </c>
      <c r="K21" t="s">
        <v>32</v>
      </c>
      <c r="L21">
        <v>0.23899999999999999</v>
      </c>
      <c r="M21" t="s">
        <v>13</v>
      </c>
      <c r="N21">
        <v>133.29599999999999</v>
      </c>
      <c r="O21" t="s">
        <v>28</v>
      </c>
    </row>
    <row r="22" spans="1:15" x14ac:dyDescent="0.2">
      <c r="A22">
        <v>9901</v>
      </c>
      <c r="B22">
        <v>223.875</v>
      </c>
      <c r="C22" t="s">
        <v>30</v>
      </c>
      <c r="D22">
        <v>7.1999999999999995E-2</v>
      </c>
      <c r="E22" t="s">
        <v>31</v>
      </c>
      <c r="F22">
        <v>0.78800000000000003</v>
      </c>
      <c r="G22" t="s">
        <v>11</v>
      </c>
      <c r="H22">
        <v>138.77199999999999</v>
      </c>
      <c r="I22" t="s">
        <v>12</v>
      </c>
      <c r="J22">
        <v>134.18899999999999</v>
      </c>
      <c r="K22" t="s">
        <v>32</v>
      </c>
      <c r="L22">
        <v>5.3999999999999999E-2</v>
      </c>
      <c r="M22" t="s">
        <v>28</v>
      </c>
    </row>
    <row r="23" spans="1:15" x14ac:dyDescent="0.2">
      <c r="A23">
        <v>9928</v>
      </c>
      <c r="B23">
        <v>219.34200000000001</v>
      </c>
      <c r="C23" t="s">
        <v>30</v>
      </c>
      <c r="D23">
        <v>7.0000000000000007E-2</v>
      </c>
      <c r="E23" t="s">
        <v>31</v>
      </c>
      <c r="F23">
        <v>0.96599999999999997</v>
      </c>
      <c r="G23" t="s">
        <v>11</v>
      </c>
      <c r="H23">
        <v>139.30600000000001</v>
      </c>
      <c r="I23" t="s">
        <v>12</v>
      </c>
      <c r="J23">
        <v>115.015</v>
      </c>
      <c r="K23" t="s">
        <v>32</v>
      </c>
      <c r="L23">
        <v>4.2999999999999997E-2</v>
      </c>
      <c r="M23" t="s">
        <v>28</v>
      </c>
    </row>
    <row r="24" spans="1:15" x14ac:dyDescent="0.2">
      <c r="A24">
        <v>9924</v>
      </c>
      <c r="B24">
        <v>220.78700000000001</v>
      </c>
      <c r="C24" t="s">
        <v>30</v>
      </c>
      <c r="D24">
        <v>6.0999999999999999E-2</v>
      </c>
      <c r="E24" t="s">
        <v>31</v>
      </c>
      <c r="F24">
        <v>1.0049999999999999</v>
      </c>
      <c r="G24" t="s">
        <v>11</v>
      </c>
      <c r="H24">
        <v>139.328</v>
      </c>
      <c r="I24" t="s">
        <v>12</v>
      </c>
      <c r="J24">
        <v>114.999</v>
      </c>
      <c r="K24" t="s">
        <v>32</v>
      </c>
      <c r="L24">
        <v>0.11</v>
      </c>
      <c r="M24" t="s">
        <v>13</v>
      </c>
      <c r="N24">
        <v>133.916</v>
      </c>
      <c r="O24" t="s">
        <v>28</v>
      </c>
    </row>
    <row r="25" spans="1:15" x14ac:dyDescent="0.2">
      <c r="A25">
        <v>9925</v>
      </c>
      <c r="B25">
        <v>217.19200000000001</v>
      </c>
      <c r="C25" t="s">
        <v>30</v>
      </c>
      <c r="D25">
        <v>4.7E-2</v>
      </c>
      <c r="E25" t="s">
        <v>31</v>
      </c>
      <c r="F25">
        <v>0.64200000000000002</v>
      </c>
      <c r="G25" t="s">
        <v>11</v>
      </c>
      <c r="H25">
        <v>140.202</v>
      </c>
      <c r="I25" t="s">
        <v>12</v>
      </c>
      <c r="J25">
        <v>132.07599999999999</v>
      </c>
      <c r="K25" t="s">
        <v>32</v>
      </c>
      <c r="L25">
        <v>3.9E-2</v>
      </c>
      <c r="M25" t="s">
        <v>28</v>
      </c>
    </row>
    <row r="26" spans="1:15" x14ac:dyDescent="0.2">
      <c r="A26">
        <v>9916</v>
      </c>
      <c r="B26">
        <v>221.86799999999999</v>
      </c>
      <c r="C26" t="s">
        <v>30</v>
      </c>
      <c r="D26">
        <v>7.0000000000000007E-2</v>
      </c>
      <c r="E26" t="s">
        <v>31</v>
      </c>
      <c r="F26">
        <v>0.81899999999999995</v>
      </c>
      <c r="G26" t="s">
        <v>11</v>
      </c>
      <c r="H26">
        <v>142.28200000000001</v>
      </c>
      <c r="I26" t="s">
        <v>12</v>
      </c>
      <c r="J26">
        <v>116.477</v>
      </c>
      <c r="K26" t="s">
        <v>32</v>
      </c>
      <c r="L26">
        <v>2.9000000000000001E-2</v>
      </c>
      <c r="M26" t="s">
        <v>28</v>
      </c>
    </row>
    <row r="27" spans="1:15" x14ac:dyDescent="0.2">
      <c r="A27">
        <v>9926</v>
      </c>
      <c r="B27">
        <v>219.12299999999999</v>
      </c>
      <c r="C27" t="s">
        <v>30</v>
      </c>
      <c r="D27">
        <v>7.0999999999999994E-2</v>
      </c>
      <c r="E27" t="s">
        <v>31</v>
      </c>
      <c r="F27">
        <v>0.90400000000000003</v>
      </c>
      <c r="G27" t="s">
        <v>11</v>
      </c>
      <c r="H27">
        <v>142.67099999999999</v>
      </c>
      <c r="I27" t="s">
        <v>12</v>
      </c>
      <c r="J27">
        <v>115.599</v>
      </c>
      <c r="K27" t="s">
        <v>32</v>
      </c>
      <c r="L27">
        <v>2.1999999999999999E-2</v>
      </c>
      <c r="M27" t="s">
        <v>28</v>
      </c>
    </row>
    <row r="28" spans="1:15" x14ac:dyDescent="0.2">
      <c r="A28">
        <v>9918</v>
      </c>
      <c r="B28">
        <v>226.91399999999999</v>
      </c>
      <c r="C28" t="s">
        <v>30</v>
      </c>
      <c r="D28">
        <v>6.8000000000000005E-2</v>
      </c>
      <c r="E28" t="s">
        <v>31</v>
      </c>
      <c r="F28">
        <v>0.53500000000000003</v>
      </c>
      <c r="G28" t="s">
        <v>11</v>
      </c>
      <c r="H28">
        <v>143.91900000000001</v>
      </c>
      <c r="I28" t="s">
        <v>12</v>
      </c>
      <c r="J28">
        <v>114.758</v>
      </c>
      <c r="K28" t="s">
        <v>32</v>
      </c>
      <c r="L28">
        <v>2.8000000000000001E-2</v>
      </c>
      <c r="M28" t="s">
        <v>28</v>
      </c>
    </row>
    <row r="29" spans="1:15" x14ac:dyDescent="0.2">
      <c r="A29">
        <v>9902</v>
      </c>
      <c r="B29">
        <v>213.19</v>
      </c>
      <c r="C29" t="s">
        <v>30</v>
      </c>
      <c r="D29">
        <v>0.06</v>
      </c>
      <c r="E29" t="s">
        <v>31</v>
      </c>
      <c r="F29">
        <v>0.878</v>
      </c>
      <c r="G29" t="s">
        <v>11</v>
      </c>
      <c r="H29">
        <v>144.78</v>
      </c>
      <c r="I29" t="s">
        <v>12</v>
      </c>
      <c r="J29">
        <v>113.82299999999999</v>
      </c>
      <c r="K29" t="s">
        <v>32</v>
      </c>
      <c r="L29">
        <v>0.06</v>
      </c>
      <c r="M29" t="s">
        <v>28</v>
      </c>
    </row>
    <row r="30" spans="1:15" x14ac:dyDescent="0.2">
      <c r="A30">
        <v>9979</v>
      </c>
      <c r="B30">
        <v>1142.654</v>
      </c>
      <c r="C30" t="s">
        <v>30</v>
      </c>
      <c r="D30">
        <v>0.108</v>
      </c>
      <c r="E30" t="s">
        <v>31</v>
      </c>
      <c r="F30">
        <v>1.1459999999999999</v>
      </c>
      <c r="G30" t="s">
        <v>11</v>
      </c>
      <c r="H30">
        <v>145.21700000000001</v>
      </c>
      <c r="I30" t="s">
        <v>12</v>
      </c>
      <c r="J30">
        <v>211.29400000000001</v>
      </c>
      <c r="K30" t="s">
        <v>32</v>
      </c>
      <c r="L30">
        <v>0.88400000000000001</v>
      </c>
      <c r="M30" t="s">
        <v>13</v>
      </c>
      <c r="N30">
        <v>812.71500000000003</v>
      </c>
      <c r="O30" t="s">
        <v>28</v>
      </c>
    </row>
    <row r="31" spans="1:15" x14ac:dyDescent="0.2">
      <c r="A31">
        <v>9920</v>
      </c>
      <c r="B31">
        <v>227.18100000000001</v>
      </c>
      <c r="C31" t="s">
        <v>30</v>
      </c>
      <c r="D31">
        <v>5.5E-2</v>
      </c>
      <c r="E31" t="s">
        <v>31</v>
      </c>
      <c r="F31">
        <v>0.50900000000000001</v>
      </c>
      <c r="G31" t="s">
        <v>11</v>
      </c>
      <c r="H31">
        <v>145.541</v>
      </c>
      <c r="I31" t="s">
        <v>12</v>
      </c>
      <c r="J31">
        <v>117.809</v>
      </c>
      <c r="K31" t="s">
        <v>32</v>
      </c>
      <c r="L31">
        <v>2.9000000000000001E-2</v>
      </c>
      <c r="M31" t="s">
        <v>28</v>
      </c>
    </row>
    <row r="32" spans="1:15" x14ac:dyDescent="0.2">
      <c r="A32">
        <v>9947</v>
      </c>
      <c r="B32">
        <v>1076.1379999999999</v>
      </c>
      <c r="C32" t="s">
        <v>30</v>
      </c>
      <c r="D32">
        <v>0.107</v>
      </c>
      <c r="E32" t="s">
        <v>31</v>
      </c>
      <c r="F32">
        <v>1.8640000000000001</v>
      </c>
      <c r="G32" t="s">
        <v>11</v>
      </c>
      <c r="H32">
        <v>147.94399999999999</v>
      </c>
      <c r="I32" t="s">
        <v>12</v>
      </c>
      <c r="J32">
        <v>191.40600000000001</v>
      </c>
      <c r="K32" t="s">
        <v>32</v>
      </c>
      <c r="L32">
        <v>0.63100000000000001</v>
      </c>
      <c r="M32" t="s">
        <v>13</v>
      </c>
      <c r="N32">
        <v>579.46400000000006</v>
      </c>
      <c r="O32" t="s">
        <v>28</v>
      </c>
    </row>
    <row r="33" spans="1:15" x14ac:dyDescent="0.2">
      <c r="A33">
        <v>9939</v>
      </c>
      <c r="B33">
        <v>1032.4929999999999</v>
      </c>
      <c r="C33" t="s">
        <v>30</v>
      </c>
      <c r="D33">
        <v>0.108</v>
      </c>
      <c r="E33" t="s">
        <v>31</v>
      </c>
      <c r="F33">
        <v>2.2679999999999998</v>
      </c>
      <c r="G33" t="s">
        <v>11</v>
      </c>
      <c r="H33">
        <v>150.749</v>
      </c>
      <c r="I33" t="s">
        <v>12</v>
      </c>
      <c r="J33">
        <v>204.63300000000001</v>
      </c>
      <c r="K33" t="s">
        <v>32</v>
      </c>
      <c r="L33">
        <v>0.877</v>
      </c>
      <c r="M33" t="s">
        <v>13</v>
      </c>
      <c r="N33">
        <v>604.15899999999999</v>
      </c>
      <c r="O33" t="s">
        <v>28</v>
      </c>
    </row>
    <row r="34" spans="1:15" x14ac:dyDescent="0.2">
      <c r="A34">
        <v>9995</v>
      </c>
      <c r="B34">
        <v>1105.6199999999999</v>
      </c>
      <c r="C34" t="s">
        <v>30</v>
      </c>
      <c r="D34">
        <v>0.108</v>
      </c>
      <c r="E34" t="s">
        <v>31</v>
      </c>
      <c r="F34">
        <v>1.34</v>
      </c>
      <c r="G34" t="s">
        <v>11</v>
      </c>
      <c r="H34">
        <v>151.119</v>
      </c>
      <c r="I34" t="s">
        <v>12</v>
      </c>
      <c r="J34">
        <v>313.23500000000001</v>
      </c>
      <c r="K34" t="s">
        <v>32</v>
      </c>
      <c r="L34">
        <v>18.132000000000001</v>
      </c>
      <c r="M34" t="s">
        <v>13</v>
      </c>
      <c r="N34">
        <v>646.46699999999998</v>
      </c>
      <c r="O34" t="s">
        <v>28</v>
      </c>
    </row>
    <row r="35" spans="1:15" x14ac:dyDescent="0.2">
      <c r="A35">
        <v>9907</v>
      </c>
      <c r="B35">
        <v>987.89400000000001</v>
      </c>
      <c r="C35" t="s">
        <v>30</v>
      </c>
      <c r="D35">
        <v>0.11600000000000001</v>
      </c>
      <c r="E35" t="s">
        <v>31</v>
      </c>
      <c r="F35">
        <v>2.7559999999999998</v>
      </c>
      <c r="G35" t="s">
        <v>11</v>
      </c>
      <c r="H35">
        <v>151.952</v>
      </c>
      <c r="I35" t="s">
        <v>12</v>
      </c>
      <c r="J35">
        <v>226.35400000000001</v>
      </c>
      <c r="K35" t="s">
        <v>32</v>
      </c>
      <c r="L35">
        <v>3.7999999999999999E-2</v>
      </c>
      <c r="M35" t="s">
        <v>28</v>
      </c>
    </row>
    <row r="36" spans="1:15" x14ac:dyDescent="0.2">
      <c r="A36">
        <v>9971</v>
      </c>
      <c r="B36">
        <v>1121.288</v>
      </c>
      <c r="C36" t="s">
        <v>30</v>
      </c>
      <c r="D36">
        <v>0.109</v>
      </c>
      <c r="E36" t="s">
        <v>31</v>
      </c>
      <c r="F36">
        <v>1.425</v>
      </c>
      <c r="G36" t="s">
        <v>11</v>
      </c>
      <c r="H36">
        <v>155.75899999999999</v>
      </c>
      <c r="I36" t="s">
        <v>12</v>
      </c>
      <c r="J36">
        <v>184.43899999999999</v>
      </c>
      <c r="K36" t="s">
        <v>32</v>
      </c>
      <c r="L36">
        <v>0.42299999999999999</v>
      </c>
      <c r="M36" t="s">
        <v>13</v>
      </c>
      <c r="N36">
        <v>773.32600000000002</v>
      </c>
      <c r="O36" t="s">
        <v>28</v>
      </c>
    </row>
    <row r="37" spans="1:15" x14ac:dyDescent="0.2">
      <c r="A37">
        <v>9963</v>
      </c>
      <c r="B37">
        <v>1097.509</v>
      </c>
      <c r="C37" t="s">
        <v>30</v>
      </c>
      <c r="D37">
        <v>0.108</v>
      </c>
      <c r="E37" t="s">
        <v>31</v>
      </c>
      <c r="F37">
        <v>1.778</v>
      </c>
      <c r="G37" t="s">
        <v>11</v>
      </c>
      <c r="H37">
        <v>157.09800000000001</v>
      </c>
      <c r="I37" t="s">
        <v>12</v>
      </c>
      <c r="J37">
        <v>202.864</v>
      </c>
      <c r="K37" t="s">
        <v>32</v>
      </c>
      <c r="L37">
        <v>3.6999999999999998E-2</v>
      </c>
      <c r="M37" t="s">
        <v>28</v>
      </c>
    </row>
    <row r="38" spans="1:15" x14ac:dyDescent="0.2">
      <c r="A38">
        <v>9923</v>
      </c>
      <c r="B38">
        <v>924.36099999999999</v>
      </c>
      <c r="C38" t="s">
        <v>30</v>
      </c>
      <c r="D38">
        <v>0.108</v>
      </c>
      <c r="E38" t="s">
        <v>31</v>
      </c>
      <c r="F38">
        <v>1.599</v>
      </c>
      <c r="G38" t="s">
        <v>11</v>
      </c>
      <c r="H38">
        <v>158.89599999999999</v>
      </c>
      <c r="I38" t="s">
        <v>12</v>
      </c>
      <c r="J38">
        <v>198.626</v>
      </c>
      <c r="K38" t="s">
        <v>32</v>
      </c>
      <c r="L38">
        <v>0.435</v>
      </c>
      <c r="M38" t="s">
        <v>13</v>
      </c>
      <c r="N38">
        <v>203.04400000000001</v>
      </c>
      <c r="O38" t="s">
        <v>28</v>
      </c>
    </row>
    <row r="39" spans="1:15" x14ac:dyDescent="0.2">
      <c r="A39">
        <v>9955</v>
      </c>
      <c r="B39">
        <v>1109.586</v>
      </c>
      <c r="C39" t="s">
        <v>30</v>
      </c>
      <c r="D39">
        <v>0.111</v>
      </c>
      <c r="E39" t="s">
        <v>31</v>
      </c>
      <c r="F39">
        <v>1.64</v>
      </c>
      <c r="G39" t="s">
        <v>11</v>
      </c>
      <c r="H39">
        <v>160.24299999999999</v>
      </c>
      <c r="I39" t="s">
        <v>12</v>
      </c>
      <c r="J39">
        <v>383.78899999999999</v>
      </c>
      <c r="K39" t="s">
        <v>32</v>
      </c>
      <c r="L39">
        <v>3.4000000000000002E-2</v>
      </c>
      <c r="M39" t="s">
        <v>28</v>
      </c>
    </row>
    <row r="40" spans="1:15" x14ac:dyDescent="0.2">
      <c r="A40">
        <v>9976</v>
      </c>
      <c r="B40">
        <v>1121.624</v>
      </c>
      <c r="C40" t="s">
        <v>30</v>
      </c>
      <c r="D40">
        <v>0.109</v>
      </c>
      <c r="E40" t="s">
        <v>31</v>
      </c>
      <c r="F40">
        <v>5.9749999999999996</v>
      </c>
      <c r="G40" t="s">
        <v>11</v>
      </c>
      <c r="H40">
        <v>233.55099999999999</v>
      </c>
      <c r="I40" t="s">
        <v>12</v>
      </c>
      <c r="J40">
        <v>207.44</v>
      </c>
      <c r="K40" t="s">
        <v>32</v>
      </c>
      <c r="L40">
        <v>3.7999999999999999E-2</v>
      </c>
      <c r="M40" t="s">
        <v>28</v>
      </c>
    </row>
    <row r="41" spans="1:15" x14ac:dyDescent="0.2">
      <c r="A41">
        <v>9982</v>
      </c>
      <c r="B41">
        <v>1027.048</v>
      </c>
      <c r="C41" t="s">
        <v>30</v>
      </c>
      <c r="D41">
        <v>0.108</v>
      </c>
      <c r="E41" t="s">
        <v>31</v>
      </c>
      <c r="F41">
        <v>1.1990000000000001</v>
      </c>
      <c r="G41" t="s">
        <v>11</v>
      </c>
      <c r="H41">
        <v>237.88200000000001</v>
      </c>
      <c r="I41" t="s">
        <v>12</v>
      </c>
      <c r="J41">
        <v>209.239</v>
      </c>
      <c r="K41" t="s">
        <v>32</v>
      </c>
      <c r="L41">
        <v>4.8000000000000001E-2</v>
      </c>
      <c r="M41" t="s">
        <v>28</v>
      </c>
    </row>
    <row r="42" spans="1:15" x14ac:dyDescent="0.2">
      <c r="A42">
        <v>9981</v>
      </c>
      <c r="B42">
        <v>1097.0219999999999</v>
      </c>
      <c r="C42" t="s">
        <v>30</v>
      </c>
      <c r="D42">
        <v>0.109</v>
      </c>
      <c r="E42" t="s">
        <v>31</v>
      </c>
      <c r="F42">
        <v>1.089</v>
      </c>
      <c r="G42" t="s">
        <v>11</v>
      </c>
      <c r="H42">
        <v>246.32300000000001</v>
      </c>
      <c r="I42" t="s">
        <v>12</v>
      </c>
      <c r="J42">
        <v>430.61700000000002</v>
      </c>
      <c r="K42" t="s">
        <v>32</v>
      </c>
      <c r="L42">
        <v>2.044</v>
      </c>
      <c r="M42" t="s">
        <v>13</v>
      </c>
      <c r="N42">
        <v>589.43100000000004</v>
      </c>
      <c r="O42" t="s">
        <v>28</v>
      </c>
    </row>
    <row r="43" spans="1:15" x14ac:dyDescent="0.2">
      <c r="A43">
        <v>9942</v>
      </c>
      <c r="B43">
        <v>1066.79</v>
      </c>
      <c r="C43" t="s">
        <v>30</v>
      </c>
      <c r="D43">
        <v>0.108</v>
      </c>
      <c r="E43" t="s">
        <v>31</v>
      </c>
      <c r="F43">
        <v>4.9340000000000002</v>
      </c>
      <c r="G43" t="s">
        <v>11</v>
      </c>
      <c r="H43">
        <v>251.93700000000001</v>
      </c>
      <c r="I43" t="s">
        <v>12</v>
      </c>
      <c r="J43">
        <v>204.84299999999999</v>
      </c>
      <c r="K43" t="s">
        <v>32</v>
      </c>
      <c r="L43">
        <v>4.2000000000000003E-2</v>
      </c>
      <c r="M43" t="s">
        <v>28</v>
      </c>
    </row>
    <row r="44" spans="1:15" x14ac:dyDescent="0.2">
      <c r="A44">
        <v>9970</v>
      </c>
      <c r="B44">
        <v>1072.8440000000001</v>
      </c>
      <c r="C44" t="s">
        <v>30</v>
      </c>
      <c r="D44">
        <v>0.111</v>
      </c>
      <c r="E44" t="s">
        <v>31</v>
      </c>
      <c r="F44">
        <v>3.4129999999999998</v>
      </c>
      <c r="G44" t="s">
        <v>11</v>
      </c>
      <c r="H44">
        <v>254.46899999999999</v>
      </c>
      <c r="I44" t="s">
        <v>12</v>
      </c>
      <c r="J44">
        <v>204.13</v>
      </c>
      <c r="K44" t="s">
        <v>32</v>
      </c>
      <c r="L44">
        <v>4.2999999999999997E-2</v>
      </c>
      <c r="M44" t="s">
        <v>28</v>
      </c>
    </row>
    <row r="45" spans="1:15" x14ac:dyDescent="0.2">
      <c r="A45">
        <v>9922</v>
      </c>
      <c r="B45">
        <v>941.49300000000005</v>
      </c>
      <c r="C45" t="s">
        <v>30</v>
      </c>
      <c r="D45">
        <v>0.107</v>
      </c>
      <c r="E45" t="s">
        <v>31</v>
      </c>
      <c r="F45">
        <v>3.7480000000000002</v>
      </c>
      <c r="G45" t="s">
        <v>11</v>
      </c>
      <c r="H45">
        <v>255.35</v>
      </c>
      <c r="I45" t="s">
        <v>12</v>
      </c>
      <c r="J45">
        <v>217.07599999999999</v>
      </c>
      <c r="K45" t="s">
        <v>32</v>
      </c>
      <c r="L45">
        <v>4.7E-2</v>
      </c>
      <c r="M45" t="s">
        <v>28</v>
      </c>
    </row>
    <row r="46" spans="1:15" x14ac:dyDescent="0.2">
      <c r="A46">
        <v>9980</v>
      </c>
      <c r="B46">
        <v>1241.654</v>
      </c>
      <c r="C46" t="s">
        <v>30</v>
      </c>
      <c r="D46">
        <v>0.108</v>
      </c>
      <c r="E46" t="s">
        <v>31</v>
      </c>
      <c r="F46">
        <v>2.1389999999999998</v>
      </c>
      <c r="G46" t="s">
        <v>11</v>
      </c>
      <c r="H46">
        <v>255.352</v>
      </c>
      <c r="I46" t="s">
        <v>12</v>
      </c>
      <c r="J46">
        <v>206.90100000000001</v>
      </c>
      <c r="K46" t="s">
        <v>32</v>
      </c>
      <c r="L46">
        <v>4.2000000000000003E-2</v>
      </c>
      <c r="M46" t="s">
        <v>28</v>
      </c>
    </row>
    <row r="47" spans="1:15" x14ac:dyDescent="0.2">
      <c r="A47">
        <v>9937</v>
      </c>
      <c r="B47">
        <v>1101.893</v>
      </c>
      <c r="C47" t="s">
        <v>30</v>
      </c>
      <c r="D47">
        <v>0.308</v>
      </c>
      <c r="E47" t="s">
        <v>31</v>
      </c>
      <c r="F47">
        <v>3.1339999999999999</v>
      </c>
      <c r="G47" t="s">
        <v>11</v>
      </c>
      <c r="H47">
        <v>255.374</v>
      </c>
      <c r="I47" t="s">
        <v>12</v>
      </c>
      <c r="J47">
        <v>230.48599999999999</v>
      </c>
      <c r="K47" t="s">
        <v>32</v>
      </c>
      <c r="L47">
        <v>4.2000000000000003E-2</v>
      </c>
      <c r="M47" t="s">
        <v>28</v>
      </c>
    </row>
    <row r="48" spans="1:15" x14ac:dyDescent="0.2">
      <c r="A48">
        <v>9998</v>
      </c>
      <c r="B48">
        <v>1112.681</v>
      </c>
      <c r="C48" t="s">
        <v>30</v>
      </c>
      <c r="D48">
        <v>0.109</v>
      </c>
      <c r="E48" t="s">
        <v>31</v>
      </c>
      <c r="F48">
        <v>2.4769999999999999</v>
      </c>
      <c r="G48" t="s">
        <v>11</v>
      </c>
      <c r="H48">
        <v>255.58600000000001</v>
      </c>
      <c r="I48" t="s">
        <v>12</v>
      </c>
      <c r="J48">
        <v>206.935</v>
      </c>
      <c r="K48" t="s">
        <v>32</v>
      </c>
      <c r="L48">
        <v>1.157</v>
      </c>
      <c r="M48" t="s">
        <v>13</v>
      </c>
      <c r="N48">
        <v>837.75400000000002</v>
      </c>
      <c r="O48" t="s">
        <v>28</v>
      </c>
    </row>
    <row r="49" spans="1:15" x14ac:dyDescent="0.2">
      <c r="A49">
        <v>9985</v>
      </c>
      <c r="B49">
        <v>1098.797</v>
      </c>
      <c r="C49" t="s">
        <v>30</v>
      </c>
      <c r="D49">
        <v>0.113</v>
      </c>
      <c r="E49" t="s">
        <v>31</v>
      </c>
      <c r="F49">
        <v>1.0620000000000001</v>
      </c>
      <c r="G49" t="s">
        <v>11</v>
      </c>
      <c r="H49">
        <v>256.00400000000002</v>
      </c>
      <c r="I49" t="s">
        <v>12</v>
      </c>
      <c r="J49">
        <v>235.6</v>
      </c>
      <c r="K49" t="s">
        <v>32</v>
      </c>
      <c r="L49">
        <v>4.1000000000000002E-2</v>
      </c>
      <c r="M49" t="s">
        <v>28</v>
      </c>
    </row>
    <row r="50" spans="1:15" x14ac:dyDescent="0.2">
      <c r="A50">
        <v>9932</v>
      </c>
      <c r="B50">
        <v>939.61400000000003</v>
      </c>
      <c r="C50" t="s">
        <v>30</v>
      </c>
      <c r="D50">
        <v>0.11600000000000001</v>
      </c>
      <c r="E50" t="s">
        <v>31</v>
      </c>
      <c r="F50">
        <v>5.3330000000000002</v>
      </c>
      <c r="G50" t="s">
        <v>11</v>
      </c>
      <c r="H50">
        <v>257.39</v>
      </c>
      <c r="I50" t="s">
        <v>12</v>
      </c>
      <c r="J50">
        <v>208.30600000000001</v>
      </c>
      <c r="K50" t="s">
        <v>32</v>
      </c>
      <c r="L50">
        <v>4.1520000000000001</v>
      </c>
      <c r="M50" t="s">
        <v>13</v>
      </c>
      <c r="N50">
        <v>591.10599999999999</v>
      </c>
      <c r="O50" t="s">
        <v>28</v>
      </c>
    </row>
    <row r="51" spans="1:15" x14ac:dyDescent="0.2">
      <c r="A51">
        <v>9944</v>
      </c>
      <c r="B51">
        <v>1085.624</v>
      </c>
      <c r="C51" t="s">
        <v>30</v>
      </c>
      <c r="D51">
        <v>0.108</v>
      </c>
      <c r="E51" t="s">
        <v>31</v>
      </c>
      <c r="F51">
        <v>4.593</v>
      </c>
      <c r="G51" t="s">
        <v>11</v>
      </c>
      <c r="H51">
        <v>257.44</v>
      </c>
      <c r="I51" t="s">
        <v>12</v>
      </c>
      <c r="J51">
        <v>382.339</v>
      </c>
      <c r="K51" t="s">
        <v>32</v>
      </c>
      <c r="L51">
        <v>3.3940000000000001</v>
      </c>
      <c r="M51" t="s">
        <v>13</v>
      </c>
      <c r="N51">
        <v>140.24600000000001</v>
      </c>
      <c r="O51" t="s">
        <v>28</v>
      </c>
    </row>
    <row r="52" spans="1:15" x14ac:dyDescent="0.2">
      <c r="A52">
        <v>9984</v>
      </c>
      <c r="B52">
        <v>1127.414</v>
      </c>
      <c r="C52" t="s">
        <v>30</v>
      </c>
      <c r="D52">
        <v>0.109</v>
      </c>
      <c r="E52" t="s">
        <v>31</v>
      </c>
      <c r="F52">
        <v>1.5529999999999999</v>
      </c>
      <c r="G52" t="s">
        <v>11</v>
      </c>
      <c r="H52">
        <v>257.93099999999998</v>
      </c>
      <c r="I52" t="s">
        <v>12</v>
      </c>
      <c r="J52">
        <v>187.69499999999999</v>
      </c>
      <c r="K52" t="s">
        <v>32</v>
      </c>
      <c r="L52">
        <v>0.318</v>
      </c>
      <c r="M52" t="s">
        <v>13</v>
      </c>
      <c r="N52">
        <v>749.04899999999998</v>
      </c>
      <c r="O52" t="s">
        <v>28</v>
      </c>
    </row>
    <row r="53" spans="1:15" x14ac:dyDescent="0.2">
      <c r="A53">
        <v>9936</v>
      </c>
      <c r="B53">
        <v>1107.5070000000001</v>
      </c>
      <c r="C53" t="s">
        <v>30</v>
      </c>
      <c r="D53">
        <v>0.108</v>
      </c>
      <c r="E53" t="s">
        <v>31</v>
      </c>
      <c r="F53">
        <v>4.2629999999999999</v>
      </c>
      <c r="G53" t="s">
        <v>11</v>
      </c>
      <c r="H53">
        <v>258.096</v>
      </c>
      <c r="I53" t="s">
        <v>12</v>
      </c>
      <c r="J53">
        <v>202.82400000000001</v>
      </c>
      <c r="K53" t="s">
        <v>32</v>
      </c>
      <c r="L53">
        <v>0.04</v>
      </c>
      <c r="M53" t="s">
        <v>28</v>
      </c>
    </row>
    <row r="54" spans="1:15" x14ac:dyDescent="0.2">
      <c r="A54">
        <v>9978</v>
      </c>
      <c r="B54">
        <v>1150.518</v>
      </c>
      <c r="C54" t="s">
        <v>30</v>
      </c>
      <c r="D54">
        <v>0.108</v>
      </c>
      <c r="E54" t="s">
        <v>31</v>
      </c>
      <c r="F54">
        <v>2.5790000000000002</v>
      </c>
      <c r="G54" t="s">
        <v>11</v>
      </c>
      <c r="H54">
        <v>258.471</v>
      </c>
      <c r="I54" t="s">
        <v>12</v>
      </c>
      <c r="J54">
        <v>210.01</v>
      </c>
      <c r="K54" t="s">
        <v>32</v>
      </c>
      <c r="L54">
        <v>0.51</v>
      </c>
      <c r="M54" t="s">
        <v>13</v>
      </c>
      <c r="N54">
        <v>722.57100000000003</v>
      </c>
      <c r="O54" t="s">
        <v>28</v>
      </c>
    </row>
    <row r="55" spans="1:15" x14ac:dyDescent="0.2">
      <c r="A55">
        <v>9958</v>
      </c>
      <c r="B55">
        <v>1128.296</v>
      </c>
      <c r="C55" t="s">
        <v>30</v>
      </c>
      <c r="D55">
        <v>0.154</v>
      </c>
      <c r="E55" t="s">
        <v>31</v>
      </c>
      <c r="F55">
        <v>3.851</v>
      </c>
      <c r="G55" t="s">
        <v>11</v>
      </c>
      <c r="H55">
        <v>258.54399999999998</v>
      </c>
      <c r="I55" t="s">
        <v>12</v>
      </c>
      <c r="J55">
        <v>405.96</v>
      </c>
      <c r="K55" t="s">
        <v>32</v>
      </c>
      <c r="L55">
        <v>3.7999999999999999E-2</v>
      </c>
      <c r="M55" t="s">
        <v>28</v>
      </c>
    </row>
    <row r="56" spans="1:15" x14ac:dyDescent="0.2">
      <c r="A56">
        <v>9930</v>
      </c>
      <c r="B56">
        <v>426.214</v>
      </c>
      <c r="C56" t="s">
        <v>30</v>
      </c>
      <c r="D56">
        <v>0.108</v>
      </c>
      <c r="E56" t="s">
        <v>31</v>
      </c>
      <c r="F56">
        <v>5.3109999999999999</v>
      </c>
      <c r="G56" t="s">
        <v>11</v>
      </c>
      <c r="H56">
        <v>258.92399999999998</v>
      </c>
      <c r="I56" t="s">
        <v>12</v>
      </c>
      <c r="J56">
        <v>207.36199999999999</v>
      </c>
      <c r="K56" t="s">
        <v>32</v>
      </c>
      <c r="L56">
        <v>4.2000000000000003E-2</v>
      </c>
      <c r="M56" t="s">
        <v>28</v>
      </c>
    </row>
    <row r="57" spans="1:15" x14ac:dyDescent="0.2">
      <c r="A57">
        <v>9950</v>
      </c>
      <c r="B57">
        <v>1106.2470000000001</v>
      </c>
      <c r="C57" t="s">
        <v>30</v>
      </c>
      <c r="D57">
        <v>0.115</v>
      </c>
      <c r="E57" t="s">
        <v>31</v>
      </c>
      <c r="F57">
        <v>2.9929999999999999</v>
      </c>
      <c r="G57" t="s">
        <v>11</v>
      </c>
      <c r="H57">
        <v>259.60399999999998</v>
      </c>
      <c r="I57" t="s">
        <v>12</v>
      </c>
      <c r="J57">
        <v>210.28700000000001</v>
      </c>
      <c r="K57" t="s">
        <v>32</v>
      </c>
      <c r="L57">
        <v>1.1619999999999999</v>
      </c>
      <c r="M57" t="s">
        <v>13</v>
      </c>
      <c r="N57">
        <v>833.42399999999998</v>
      </c>
      <c r="O57" t="s">
        <v>28</v>
      </c>
    </row>
    <row r="58" spans="1:15" x14ac:dyDescent="0.2">
      <c r="A58">
        <v>9912</v>
      </c>
      <c r="B58">
        <v>884.83399999999995</v>
      </c>
      <c r="C58" t="s">
        <v>30</v>
      </c>
      <c r="D58">
        <v>0.107</v>
      </c>
      <c r="E58" t="s">
        <v>31</v>
      </c>
      <c r="F58">
        <v>4.5</v>
      </c>
      <c r="G58" t="s">
        <v>11</v>
      </c>
      <c r="H58">
        <v>259.70499999999998</v>
      </c>
      <c r="I58" t="s">
        <v>12</v>
      </c>
      <c r="J58">
        <v>204.94300000000001</v>
      </c>
      <c r="K58" t="s">
        <v>32</v>
      </c>
      <c r="L58">
        <v>5.6000000000000001E-2</v>
      </c>
      <c r="M58" t="s">
        <v>28</v>
      </c>
    </row>
    <row r="59" spans="1:15" x14ac:dyDescent="0.2">
      <c r="A59">
        <v>9996</v>
      </c>
      <c r="B59">
        <v>1093.646</v>
      </c>
      <c r="C59" t="s">
        <v>30</v>
      </c>
      <c r="D59">
        <v>0.109</v>
      </c>
      <c r="E59" t="s">
        <v>31</v>
      </c>
      <c r="F59">
        <v>3.2010000000000001</v>
      </c>
      <c r="G59" t="s">
        <v>11</v>
      </c>
      <c r="H59">
        <v>260.16500000000002</v>
      </c>
      <c r="I59" t="s">
        <v>12</v>
      </c>
      <c r="J59">
        <v>205.26599999999999</v>
      </c>
      <c r="K59" t="s">
        <v>32</v>
      </c>
      <c r="L59">
        <v>3.6999999999999998E-2</v>
      </c>
      <c r="M59" t="s">
        <v>28</v>
      </c>
    </row>
    <row r="60" spans="1:15" x14ac:dyDescent="0.2">
      <c r="A60">
        <v>9964</v>
      </c>
      <c r="B60">
        <v>1081.153</v>
      </c>
      <c r="C60" t="s">
        <v>30</v>
      </c>
      <c r="D60">
        <v>0.108</v>
      </c>
      <c r="E60" t="s">
        <v>31</v>
      </c>
      <c r="F60">
        <v>4.306</v>
      </c>
      <c r="G60" t="s">
        <v>11</v>
      </c>
      <c r="H60">
        <v>260.29599999999999</v>
      </c>
      <c r="I60" t="s">
        <v>12</v>
      </c>
      <c r="J60">
        <v>409.63900000000001</v>
      </c>
      <c r="K60" t="s">
        <v>32</v>
      </c>
      <c r="L60">
        <v>0.316</v>
      </c>
      <c r="M60" t="s">
        <v>13</v>
      </c>
      <c r="N60">
        <v>646.44399999999996</v>
      </c>
      <c r="O60" t="s">
        <v>28</v>
      </c>
    </row>
    <row r="61" spans="1:15" x14ac:dyDescent="0.2">
      <c r="A61">
        <v>9974</v>
      </c>
      <c r="B61">
        <v>1112.903</v>
      </c>
      <c r="C61" t="s">
        <v>30</v>
      </c>
      <c r="D61">
        <v>0.127</v>
      </c>
      <c r="E61" t="s">
        <v>31</v>
      </c>
      <c r="F61">
        <v>5.0570000000000004</v>
      </c>
      <c r="G61" t="s">
        <v>11</v>
      </c>
      <c r="H61">
        <v>260.38</v>
      </c>
      <c r="I61" t="s">
        <v>12</v>
      </c>
      <c r="J61">
        <v>208.58600000000001</v>
      </c>
      <c r="K61" t="s">
        <v>32</v>
      </c>
      <c r="L61">
        <v>0.32400000000000001</v>
      </c>
      <c r="M61" t="s">
        <v>13</v>
      </c>
      <c r="N61">
        <v>801.09900000000005</v>
      </c>
      <c r="O61" t="s">
        <v>28</v>
      </c>
    </row>
    <row r="62" spans="1:15" x14ac:dyDescent="0.2">
      <c r="A62">
        <v>9960</v>
      </c>
      <c r="B62">
        <v>1100.175</v>
      </c>
      <c r="C62" t="s">
        <v>30</v>
      </c>
      <c r="D62">
        <v>0.108</v>
      </c>
      <c r="E62" t="s">
        <v>31</v>
      </c>
      <c r="F62">
        <v>4.069</v>
      </c>
      <c r="G62" t="s">
        <v>11</v>
      </c>
      <c r="H62">
        <v>261.33699999999999</v>
      </c>
      <c r="I62" t="s">
        <v>12</v>
      </c>
      <c r="J62">
        <v>399.70699999999999</v>
      </c>
      <c r="K62" t="s">
        <v>32</v>
      </c>
      <c r="L62">
        <v>3.9E-2</v>
      </c>
      <c r="M62" t="s">
        <v>28</v>
      </c>
    </row>
    <row r="63" spans="1:15" x14ac:dyDescent="0.2">
      <c r="A63">
        <v>9988</v>
      </c>
      <c r="B63">
        <v>1130.019</v>
      </c>
      <c r="C63" t="s">
        <v>30</v>
      </c>
      <c r="D63">
        <v>0.109</v>
      </c>
      <c r="E63" t="s">
        <v>31</v>
      </c>
      <c r="F63">
        <v>2.44</v>
      </c>
      <c r="G63" t="s">
        <v>11</v>
      </c>
      <c r="H63">
        <v>261.46100000000001</v>
      </c>
      <c r="I63" t="s">
        <v>12</v>
      </c>
      <c r="J63">
        <v>205.65600000000001</v>
      </c>
      <c r="K63" t="s">
        <v>32</v>
      </c>
      <c r="L63">
        <v>4.2999999999999997E-2</v>
      </c>
      <c r="M63" t="s">
        <v>28</v>
      </c>
    </row>
    <row r="64" spans="1:15" x14ac:dyDescent="0.2">
      <c r="A64">
        <v>9966</v>
      </c>
      <c r="B64">
        <v>1110.1099999999999</v>
      </c>
      <c r="C64" t="s">
        <v>30</v>
      </c>
      <c r="D64">
        <v>0.114</v>
      </c>
      <c r="E64" t="s">
        <v>31</v>
      </c>
      <c r="F64">
        <v>3.0630000000000002</v>
      </c>
      <c r="G64" t="s">
        <v>11</v>
      </c>
      <c r="H64">
        <v>262.78300000000002</v>
      </c>
      <c r="I64" t="s">
        <v>12</v>
      </c>
      <c r="J64">
        <v>204.172</v>
      </c>
      <c r="K64" t="s">
        <v>32</v>
      </c>
      <c r="L64">
        <v>3.7999999999999999E-2</v>
      </c>
      <c r="M64" t="s">
        <v>28</v>
      </c>
    </row>
    <row r="65" spans="1:15" x14ac:dyDescent="0.2">
      <c r="A65">
        <v>9941</v>
      </c>
      <c r="B65">
        <v>1109.0930000000001</v>
      </c>
      <c r="C65" t="s">
        <v>30</v>
      </c>
      <c r="D65">
        <v>0.108</v>
      </c>
      <c r="E65" t="s">
        <v>31</v>
      </c>
      <c r="F65">
        <v>3.661</v>
      </c>
      <c r="G65" t="s">
        <v>11</v>
      </c>
      <c r="H65">
        <v>262.80599999999998</v>
      </c>
      <c r="I65" t="s">
        <v>12</v>
      </c>
      <c r="J65">
        <v>192.58500000000001</v>
      </c>
      <c r="K65" t="s">
        <v>32</v>
      </c>
      <c r="L65">
        <v>0.22</v>
      </c>
      <c r="M65" t="s">
        <v>13</v>
      </c>
      <c r="N65">
        <v>817.96100000000001</v>
      </c>
      <c r="O65" t="s">
        <v>28</v>
      </c>
    </row>
    <row r="66" spans="1:15" x14ac:dyDescent="0.2">
      <c r="A66">
        <v>9994</v>
      </c>
      <c r="B66">
        <v>1136.242</v>
      </c>
      <c r="C66" t="s">
        <v>30</v>
      </c>
      <c r="D66">
        <v>0.111</v>
      </c>
      <c r="E66" t="s">
        <v>31</v>
      </c>
      <c r="F66">
        <v>3.5670000000000002</v>
      </c>
      <c r="G66" t="s">
        <v>11</v>
      </c>
      <c r="H66">
        <v>262.82499999999999</v>
      </c>
      <c r="I66" t="s">
        <v>12</v>
      </c>
      <c r="J66">
        <v>417.99299999999999</v>
      </c>
      <c r="K66" t="s">
        <v>32</v>
      </c>
      <c r="L66">
        <v>0.32500000000000001</v>
      </c>
      <c r="M66" t="s">
        <v>13</v>
      </c>
      <c r="N66">
        <v>642.226</v>
      </c>
      <c r="O66" t="s">
        <v>28</v>
      </c>
    </row>
    <row r="67" spans="1:15" x14ac:dyDescent="0.2">
      <c r="A67">
        <v>9934</v>
      </c>
      <c r="B67">
        <v>1000.026</v>
      </c>
      <c r="C67" t="s">
        <v>30</v>
      </c>
      <c r="D67">
        <v>0.108</v>
      </c>
      <c r="E67" t="s">
        <v>31</v>
      </c>
      <c r="F67">
        <v>3.9609999999999999</v>
      </c>
      <c r="G67" t="s">
        <v>11</v>
      </c>
      <c r="H67">
        <v>264.05900000000003</v>
      </c>
      <c r="I67" t="s">
        <v>12</v>
      </c>
      <c r="J67">
        <v>207.10599999999999</v>
      </c>
      <c r="K67" t="s">
        <v>32</v>
      </c>
      <c r="L67">
        <v>0.31900000000000001</v>
      </c>
      <c r="M67" t="s">
        <v>13</v>
      </c>
      <c r="N67">
        <v>809.17600000000004</v>
      </c>
      <c r="O67" t="s">
        <v>28</v>
      </c>
    </row>
    <row r="68" spans="1:15" x14ac:dyDescent="0.2">
      <c r="A68">
        <v>9965</v>
      </c>
      <c r="B68">
        <v>1119.519</v>
      </c>
      <c r="C68" t="s">
        <v>30</v>
      </c>
      <c r="D68">
        <v>0.109</v>
      </c>
      <c r="E68" t="s">
        <v>31</v>
      </c>
      <c r="F68">
        <v>2.5059999999999998</v>
      </c>
      <c r="G68" t="s">
        <v>11</v>
      </c>
      <c r="H68">
        <v>264.30200000000002</v>
      </c>
      <c r="I68" t="s">
        <v>12</v>
      </c>
      <c r="J68">
        <v>384.709</v>
      </c>
      <c r="K68" t="s">
        <v>32</v>
      </c>
      <c r="L68">
        <v>2.6349999999999998</v>
      </c>
      <c r="M68" t="s">
        <v>13</v>
      </c>
      <c r="N68">
        <v>648.34900000000005</v>
      </c>
      <c r="O68" t="s">
        <v>28</v>
      </c>
    </row>
    <row r="69" spans="1:15" x14ac:dyDescent="0.2">
      <c r="A69">
        <v>9969</v>
      </c>
      <c r="B69">
        <v>1126.1669999999999</v>
      </c>
      <c r="C69" t="s">
        <v>30</v>
      </c>
      <c r="D69">
        <v>0.108</v>
      </c>
      <c r="E69" t="s">
        <v>31</v>
      </c>
      <c r="F69">
        <v>2.0939999999999999</v>
      </c>
      <c r="G69" t="s">
        <v>11</v>
      </c>
      <c r="H69">
        <v>264.79700000000003</v>
      </c>
      <c r="I69" t="s">
        <v>12</v>
      </c>
      <c r="J69">
        <v>237.714</v>
      </c>
      <c r="K69" t="s">
        <v>32</v>
      </c>
      <c r="L69">
        <v>0.504</v>
      </c>
      <c r="M69" t="s">
        <v>13</v>
      </c>
      <c r="N69">
        <v>694.12900000000002</v>
      </c>
      <c r="O69" t="s">
        <v>28</v>
      </c>
    </row>
    <row r="70" spans="1:15" x14ac:dyDescent="0.2">
      <c r="A70">
        <v>9909</v>
      </c>
      <c r="B70">
        <v>947.32600000000002</v>
      </c>
      <c r="C70" t="s">
        <v>30</v>
      </c>
      <c r="D70">
        <v>0.108</v>
      </c>
      <c r="E70" t="s">
        <v>31</v>
      </c>
      <c r="F70">
        <v>3.8079999999999998</v>
      </c>
      <c r="G70" t="s">
        <v>11</v>
      </c>
      <c r="H70">
        <v>265.07499999999999</v>
      </c>
      <c r="I70" t="s">
        <v>12</v>
      </c>
      <c r="J70">
        <v>226.50399999999999</v>
      </c>
      <c r="K70" t="s">
        <v>32</v>
      </c>
      <c r="L70">
        <v>0.504</v>
      </c>
      <c r="M70" t="s">
        <v>13</v>
      </c>
      <c r="N70">
        <v>644.43100000000004</v>
      </c>
      <c r="O70" t="s">
        <v>28</v>
      </c>
    </row>
    <row r="71" spans="1:15" x14ac:dyDescent="0.2">
      <c r="A71">
        <v>9972</v>
      </c>
      <c r="B71">
        <v>1128.374</v>
      </c>
      <c r="C71" t="s">
        <v>30</v>
      </c>
      <c r="D71">
        <v>0.109</v>
      </c>
      <c r="E71" t="s">
        <v>31</v>
      </c>
      <c r="F71">
        <v>3.6349999999999998</v>
      </c>
      <c r="G71" t="s">
        <v>11</v>
      </c>
      <c r="H71">
        <v>265.65300000000002</v>
      </c>
      <c r="I71" t="s">
        <v>12</v>
      </c>
      <c r="J71">
        <v>205.46100000000001</v>
      </c>
      <c r="K71" t="s">
        <v>32</v>
      </c>
      <c r="L71">
        <v>4.2999999999999997E-2</v>
      </c>
      <c r="M71" t="s">
        <v>28</v>
      </c>
    </row>
    <row r="72" spans="1:15" x14ac:dyDescent="0.2">
      <c r="A72">
        <v>9990</v>
      </c>
      <c r="B72">
        <v>1133.8800000000001</v>
      </c>
      <c r="C72" t="s">
        <v>30</v>
      </c>
      <c r="D72">
        <v>0.121</v>
      </c>
      <c r="E72" t="s">
        <v>31</v>
      </c>
      <c r="F72">
        <v>2.3610000000000002</v>
      </c>
      <c r="G72" t="s">
        <v>11</v>
      </c>
      <c r="H72">
        <v>266.28800000000001</v>
      </c>
      <c r="I72" t="s">
        <v>12</v>
      </c>
      <c r="J72">
        <v>209.82</v>
      </c>
      <c r="K72" t="s">
        <v>32</v>
      </c>
      <c r="L72">
        <v>3.3000000000000002E-2</v>
      </c>
      <c r="M72" t="s">
        <v>28</v>
      </c>
    </row>
    <row r="73" spans="1:15" x14ac:dyDescent="0.2">
      <c r="A73">
        <v>9968</v>
      </c>
      <c r="B73">
        <v>1126.8779999999999</v>
      </c>
      <c r="C73" t="s">
        <v>30</v>
      </c>
      <c r="D73">
        <v>0.11799999999999999</v>
      </c>
      <c r="E73" t="s">
        <v>31</v>
      </c>
      <c r="F73">
        <v>3.556</v>
      </c>
      <c r="G73" t="s">
        <v>11</v>
      </c>
      <c r="H73">
        <v>266.33100000000002</v>
      </c>
      <c r="I73" t="s">
        <v>12</v>
      </c>
      <c r="J73">
        <v>204.488</v>
      </c>
      <c r="K73" t="s">
        <v>32</v>
      </c>
      <c r="L73">
        <v>3.9E-2</v>
      </c>
      <c r="M73" t="s">
        <v>28</v>
      </c>
    </row>
    <row r="74" spans="1:15" x14ac:dyDescent="0.2">
      <c r="A74">
        <v>9973</v>
      </c>
      <c r="B74">
        <v>1091.4770000000001</v>
      </c>
      <c r="C74" t="s">
        <v>30</v>
      </c>
      <c r="D74">
        <v>0.108</v>
      </c>
      <c r="E74" t="s">
        <v>31</v>
      </c>
      <c r="F74">
        <v>2.1840000000000002</v>
      </c>
      <c r="G74" t="s">
        <v>11</v>
      </c>
      <c r="H74">
        <v>267.03800000000001</v>
      </c>
      <c r="I74" t="s">
        <v>12</v>
      </c>
      <c r="J74">
        <v>426.35300000000001</v>
      </c>
      <c r="K74" t="s">
        <v>32</v>
      </c>
      <c r="L74">
        <v>3.7999999999999999E-2</v>
      </c>
      <c r="M74" t="s">
        <v>28</v>
      </c>
    </row>
    <row r="75" spans="1:15" x14ac:dyDescent="0.2">
      <c r="A75">
        <v>9993</v>
      </c>
      <c r="B75">
        <v>1097.1969999999999</v>
      </c>
      <c r="C75" t="s">
        <v>30</v>
      </c>
      <c r="D75">
        <v>0.12</v>
      </c>
      <c r="E75" t="s">
        <v>31</v>
      </c>
      <c r="F75">
        <v>2.0470000000000002</v>
      </c>
      <c r="G75" t="s">
        <v>11</v>
      </c>
      <c r="H75">
        <v>267.13400000000001</v>
      </c>
      <c r="I75" t="s">
        <v>12</v>
      </c>
      <c r="J75">
        <v>234.51</v>
      </c>
      <c r="K75" t="s">
        <v>32</v>
      </c>
      <c r="L75">
        <v>4.2000000000000003E-2</v>
      </c>
      <c r="M75" t="s">
        <v>28</v>
      </c>
    </row>
    <row r="76" spans="1:15" x14ac:dyDescent="0.2">
      <c r="A76">
        <v>9962</v>
      </c>
      <c r="B76">
        <v>1091.7629999999999</v>
      </c>
      <c r="C76" t="s">
        <v>30</v>
      </c>
      <c r="D76">
        <v>0.108</v>
      </c>
      <c r="E76" t="s">
        <v>31</v>
      </c>
      <c r="F76">
        <v>4.9180000000000001</v>
      </c>
      <c r="G76" t="s">
        <v>11</v>
      </c>
      <c r="H76">
        <v>267.14299999999997</v>
      </c>
      <c r="I76" t="s">
        <v>12</v>
      </c>
      <c r="J76">
        <v>205.803</v>
      </c>
      <c r="K76" t="s">
        <v>32</v>
      </c>
      <c r="L76">
        <v>3.7999999999999999E-2</v>
      </c>
      <c r="M76" t="s">
        <v>28</v>
      </c>
    </row>
    <row r="77" spans="1:15" x14ac:dyDescent="0.2">
      <c r="A77">
        <v>9961</v>
      </c>
      <c r="B77">
        <v>1115.5129999999999</v>
      </c>
      <c r="C77" t="s">
        <v>30</v>
      </c>
      <c r="D77">
        <v>0.11899999999999999</v>
      </c>
      <c r="E77" t="s">
        <v>31</v>
      </c>
      <c r="F77">
        <v>2.9049999999999998</v>
      </c>
      <c r="G77" t="s">
        <v>11</v>
      </c>
      <c r="H77">
        <v>268.00799999999998</v>
      </c>
      <c r="I77" t="s">
        <v>12</v>
      </c>
      <c r="J77">
        <v>226.96199999999999</v>
      </c>
      <c r="K77" t="s">
        <v>32</v>
      </c>
      <c r="L77">
        <v>0.878</v>
      </c>
      <c r="M77" t="s">
        <v>13</v>
      </c>
      <c r="N77">
        <v>843.822</v>
      </c>
      <c r="O77" t="s">
        <v>28</v>
      </c>
    </row>
    <row r="78" spans="1:15" x14ac:dyDescent="0.2">
      <c r="A78">
        <v>9933</v>
      </c>
      <c r="B78">
        <v>968.28</v>
      </c>
      <c r="C78" t="s">
        <v>30</v>
      </c>
      <c r="D78">
        <v>0.108</v>
      </c>
      <c r="E78" t="s">
        <v>31</v>
      </c>
      <c r="F78">
        <v>3.0030000000000001</v>
      </c>
      <c r="G78" t="s">
        <v>11</v>
      </c>
      <c r="H78">
        <v>268.15499999999997</v>
      </c>
      <c r="I78" t="s">
        <v>12</v>
      </c>
      <c r="J78">
        <v>232.71700000000001</v>
      </c>
      <c r="K78" t="s">
        <v>32</v>
      </c>
      <c r="L78">
        <v>3.9E-2</v>
      </c>
      <c r="M78" t="s">
        <v>28</v>
      </c>
    </row>
    <row r="79" spans="1:15" x14ac:dyDescent="0.2">
      <c r="A79">
        <v>9952</v>
      </c>
      <c r="B79">
        <v>1179.4290000000001</v>
      </c>
      <c r="C79" t="s">
        <v>30</v>
      </c>
      <c r="D79">
        <v>0.11600000000000001</v>
      </c>
      <c r="E79" t="s">
        <v>31</v>
      </c>
      <c r="F79">
        <v>2.786</v>
      </c>
      <c r="G79" t="s">
        <v>11</v>
      </c>
      <c r="H79">
        <v>270.94600000000003</v>
      </c>
      <c r="I79" t="s">
        <v>12</v>
      </c>
      <c r="J79">
        <v>213.566</v>
      </c>
      <c r="K79" t="s">
        <v>32</v>
      </c>
      <c r="L79">
        <v>3.5999999999999997E-2</v>
      </c>
      <c r="M79" t="s">
        <v>28</v>
      </c>
    </row>
    <row r="80" spans="1:15" x14ac:dyDescent="0.2">
      <c r="A80">
        <v>9913</v>
      </c>
      <c r="B80">
        <v>929.06399999999996</v>
      </c>
      <c r="C80" t="s">
        <v>30</v>
      </c>
      <c r="D80">
        <v>0.108</v>
      </c>
      <c r="E80" t="s">
        <v>31</v>
      </c>
      <c r="F80">
        <v>2.9780000000000002</v>
      </c>
      <c r="G80" t="s">
        <v>11</v>
      </c>
      <c r="H80">
        <v>272.45</v>
      </c>
      <c r="I80" t="s">
        <v>12</v>
      </c>
      <c r="J80">
        <v>152.852</v>
      </c>
      <c r="K80" t="s">
        <v>32</v>
      </c>
      <c r="L80">
        <v>2.9000000000000001E-2</v>
      </c>
      <c r="M80" t="s">
        <v>28</v>
      </c>
    </row>
    <row r="81" spans="1:15" x14ac:dyDescent="0.2">
      <c r="A81">
        <v>9910</v>
      </c>
      <c r="B81">
        <v>926.38499999999999</v>
      </c>
      <c r="C81" t="s">
        <v>30</v>
      </c>
      <c r="D81">
        <v>0.11600000000000001</v>
      </c>
      <c r="E81" t="s">
        <v>31</v>
      </c>
      <c r="F81">
        <v>5.3929999999999998</v>
      </c>
      <c r="G81" t="s">
        <v>11</v>
      </c>
      <c r="H81">
        <v>273.21699999999998</v>
      </c>
      <c r="I81" t="s">
        <v>12</v>
      </c>
      <c r="J81">
        <v>200.75899999999999</v>
      </c>
      <c r="K81" t="s">
        <v>32</v>
      </c>
      <c r="L81">
        <v>0.504</v>
      </c>
      <c r="M81" t="s">
        <v>13</v>
      </c>
      <c r="N81">
        <v>687.06700000000001</v>
      </c>
      <c r="O81" t="s">
        <v>28</v>
      </c>
    </row>
    <row r="82" spans="1:15" x14ac:dyDescent="0.2">
      <c r="A82">
        <v>9957</v>
      </c>
      <c r="B82">
        <v>1097.7280000000001</v>
      </c>
      <c r="C82" t="s">
        <v>30</v>
      </c>
      <c r="D82">
        <v>0.152</v>
      </c>
      <c r="E82" t="s">
        <v>31</v>
      </c>
      <c r="F82">
        <v>2.8650000000000002</v>
      </c>
      <c r="G82" t="s">
        <v>11</v>
      </c>
      <c r="H82">
        <v>274.61200000000002</v>
      </c>
      <c r="I82" t="s">
        <v>12</v>
      </c>
      <c r="J82">
        <v>227.21899999999999</v>
      </c>
      <c r="K82" t="s">
        <v>32</v>
      </c>
      <c r="L82">
        <v>3.6999999999999998E-2</v>
      </c>
      <c r="M82" t="s">
        <v>28</v>
      </c>
    </row>
    <row r="83" spans="1:15" x14ac:dyDescent="0.2">
      <c r="A83">
        <v>9986</v>
      </c>
      <c r="B83">
        <v>1148.01</v>
      </c>
      <c r="C83" t="s">
        <v>30</v>
      </c>
      <c r="D83">
        <v>0.11899999999999999</v>
      </c>
      <c r="E83" t="s">
        <v>31</v>
      </c>
      <c r="F83">
        <v>1.986</v>
      </c>
      <c r="G83" t="s">
        <v>11</v>
      </c>
      <c r="H83">
        <v>275.483</v>
      </c>
      <c r="I83" t="s">
        <v>12</v>
      </c>
      <c r="J83">
        <v>386.62900000000002</v>
      </c>
      <c r="K83" t="s">
        <v>32</v>
      </c>
      <c r="L83">
        <v>4.5999999999999999E-2</v>
      </c>
      <c r="M83" t="s">
        <v>28</v>
      </c>
    </row>
    <row r="84" spans="1:15" x14ac:dyDescent="0.2">
      <c r="A84">
        <v>9921</v>
      </c>
      <c r="B84">
        <v>312.214</v>
      </c>
      <c r="C84" t="s">
        <v>30</v>
      </c>
      <c r="D84">
        <v>0.13100000000000001</v>
      </c>
      <c r="E84" t="s">
        <v>31</v>
      </c>
      <c r="F84">
        <v>2.1240000000000001</v>
      </c>
      <c r="G84" t="s">
        <v>11</v>
      </c>
      <c r="H84">
        <v>276.334</v>
      </c>
      <c r="I84" t="s">
        <v>12</v>
      </c>
      <c r="J84">
        <v>229.19</v>
      </c>
      <c r="K84" t="s">
        <v>32</v>
      </c>
      <c r="L84">
        <v>0.04</v>
      </c>
      <c r="M84" t="s">
        <v>28</v>
      </c>
    </row>
    <row r="85" spans="1:15" x14ac:dyDescent="0.2">
      <c r="A85">
        <v>9908</v>
      </c>
      <c r="B85">
        <v>944.95100000000002</v>
      </c>
      <c r="C85" t="s">
        <v>30</v>
      </c>
      <c r="D85">
        <v>0.11799999999999999</v>
      </c>
      <c r="E85" t="s">
        <v>31</v>
      </c>
      <c r="F85">
        <v>6.3259999999999996</v>
      </c>
      <c r="G85" t="s">
        <v>11</v>
      </c>
      <c r="H85">
        <v>276.81299999999999</v>
      </c>
      <c r="I85" t="s">
        <v>12</v>
      </c>
      <c r="J85">
        <v>207.41800000000001</v>
      </c>
      <c r="K85" t="s">
        <v>32</v>
      </c>
      <c r="L85">
        <v>4.2999999999999997E-2</v>
      </c>
      <c r="M85" t="s">
        <v>28</v>
      </c>
    </row>
    <row r="86" spans="1:15" x14ac:dyDescent="0.2">
      <c r="A86">
        <v>9989</v>
      </c>
      <c r="B86">
        <v>1146.6389999999999</v>
      </c>
      <c r="C86" t="s">
        <v>30</v>
      </c>
      <c r="D86">
        <v>0.108</v>
      </c>
      <c r="E86" t="s">
        <v>31</v>
      </c>
      <c r="F86">
        <v>1.6439999999999999</v>
      </c>
      <c r="G86" t="s">
        <v>11</v>
      </c>
      <c r="H86">
        <v>281.48899999999998</v>
      </c>
      <c r="I86" t="s">
        <v>12</v>
      </c>
      <c r="J86">
        <v>203.68299999999999</v>
      </c>
      <c r="K86" t="s">
        <v>32</v>
      </c>
      <c r="L86">
        <v>0.67500000000000004</v>
      </c>
      <c r="M86" t="s">
        <v>13</v>
      </c>
      <c r="N86">
        <v>859.66300000000001</v>
      </c>
      <c r="O86" t="s">
        <v>28</v>
      </c>
    </row>
    <row r="87" spans="1:15" x14ac:dyDescent="0.2">
      <c r="A87">
        <v>9959</v>
      </c>
      <c r="B87">
        <v>917.04700000000003</v>
      </c>
      <c r="C87" t="s">
        <v>30</v>
      </c>
      <c r="D87">
        <v>0.11899999999999999</v>
      </c>
      <c r="E87" t="s">
        <v>31</v>
      </c>
      <c r="F87">
        <v>2.4620000000000002</v>
      </c>
      <c r="G87" t="s">
        <v>11</v>
      </c>
      <c r="H87">
        <v>285.197</v>
      </c>
      <c r="I87" t="s">
        <v>12</v>
      </c>
      <c r="J87">
        <v>183.297</v>
      </c>
      <c r="K87" t="s">
        <v>32</v>
      </c>
      <c r="L87">
        <v>2.4849999999999999</v>
      </c>
      <c r="M87" t="s">
        <v>13</v>
      </c>
      <c r="N87">
        <v>599.80700000000002</v>
      </c>
      <c r="O87" t="s">
        <v>28</v>
      </c>
    </row>
    <row r="88" spans="1:15" x14ac:dyDescent="0.2">
      <c r="A88">
        <v>9949</v>
      </c>
      <c r="B88">
        <v>1277.9259999999999</v>
      </c>
      <c r="C88" t="s">
        <v>30</v>
      </c>
      <c r="D88">
        <v>0.108</v>
      </c>
      <c r="E88" t="s">
        <v>31</v>
      </c>
      <c r="F88">
        <v>2.35</v>
      </c>
      <c r="G88" t="s">
        <v>11</v>
      </c>
      <c r="H88">
        <v>286.69799999999998</v>
      </c>
      <c r="I88" t="s">
        <v>12</v>
      </c>
      <c r="J88">
        <v>238.12799999999999</v>
      </c>
      <c r="K88" t="s">
        <v>32</v>
      </c>
      <c r="L88">
        <v>0.53</v>
      </c>
      <c r="M88" t="s">
        <v>13</v>
      </c>
      <c r="N88">
        <v>846.41800000000001</v>
      </c>
      <c r="O88" t="s">
        <v>28</v>
      </c>
    </row>
    <row r="89" spans="1:15" x14ac:dyDescent="0.2">
      <c r="A89">
        <v>9987</v>
      </c>
      <c r="B89">
        <v>966.60500000000002</v>
      </c>
      <c r="C89" t="s">
        <v>30</v>
      </c>
      <c r="D89">
        <v>0.109</v>
      </c>
      <c r="E89" t="s">
        <v>31</v>
      </c>
      <c r="F89">
        <v>0.99099999999999999</v>
      </c>
      <c r="G89" t="s">
        <v>11</v>
      </c>
      <c r="H89">
        <v>315.92200000000003</v>
      </c>
      <c r="I89" t="s">
        <v>12</v>
      </c>
      <c r="J89">
        <v>212.74199999999999</v>
      </c>
      <c r="K89" t="s">
        <v>32</v>
      </c>
      <c r="L89">
        <v>4.3999999999999997E-2</v>
      </c>
      <c r="M89" t="s">
        <v>28</v>
      </c>
    </row>
    <row r="90" spans="1:15" x14ac:dyDescent="0.2">
      <c r="A90">
        <v>9975</v>
      </c>
      <c r="B90">
        <v>900.39400000000001</v>
      </c>
      <c r="C90" t="s">
        <v>30</v>
      </c>
      <c r="D90">
        <v>0.11799999999999999</v>
      </c>
      <c r="E90" t="s">
        <v>31</v>
      </c>
      <c r="F90">
        <v>0.94699999999999995</v>
      </c>
      <c r="G90" t="s">
        <v>11</v>
      </c>
      <c r="H90">
        <v>319.39800000000002</v>
      </c>
      <c r="I90" t="s">
        <v>12</v>
      </c>
      <c r="J90">
        <v>168.042</v>
      </c>
      <c r="K90" t="s">
        <v>32</v>
      </c>
      <c r="L90">
        <v>3.5999999999999997E-2</v>
      </c>
      <c r="M90" t="s">
        <v>28</v>
      </c>
    </row>
    <row r="91" spans="1:15" x14ac:dyDescent="0.2">
      <c r="A91">
        <v>9977</v>
      </c>
      <c r="B91">
        <v>1231.903</v>
      </c>
      <c r="C91" t="s">
        <v>30</v>
      </c>
      <c r="D91">
        <v>0.108</v>
      </c>
      <c r="E91" t="s">
        <v>31</v>
      </c>
      <c r="F91">
        <v>1.712</v>
      </c>
      <c r="G91" t="s">
        <v>11</v>
      </c>
      <c r="H91">
        <v>323.79700000000003</v>
      </c>
      <c r="I91" t="s">
        <v>12</v>
      </c>
      <c r="J91">
        <v>223.417</v>
      </c>
      <c r="K91" t="s">
        <v>32</v>
      </c>
      <c r="L91">
        <v>0.23799999999999999</v>
      </c>
      <c r="M91" t="s">
        <v>29</v>
      </c>
      <c r="N91" t="s">
        <v>28</v>
      </c>
    </row>
    <row r="92" spans="1:15" x14ac:dyDescent="0.2">
      <c r="A92">
        <v>9946</v>
      </c>
      <c r="B92">
        <v>221.68700000000001</v>
      </c>
      <c r="C92" t="s">
        <v>30</v>
      </c>
      <c r="D92">
        <v>7.0999999999999994E-2</v>
      </c>
      <c r="E92" t="s">
        <v>31</v>
      </c>
      <c r="F92">
        <v>1.1299999999999999</v>
      </c>
      <c r="G92" t="s">
        <v>11</v>
      </c>
      <c r="H92">
        <v>328.87200000000001</v>
      </c>
      <c r="I92" t="s">
        <v>12</v>
      </c>
      <c r="J92">
        <v>221.22200000000001</v>
      </c>
      <c r="K92" t="s">
        <v>32</v>
      </c>
      <c r="L92">
        <v>3.7999999999999999E-2</v>
      </c>
      <c r="M92" t="s">
        <v>28</v>
      </c>
    </row>
    <row r="93" spans="1:15" x14ac:dyDescent="0.2">
      <c r="A93">
        <v>9906</v>
      </c>
      <c r="B93">
        <v>1051.3019999999999</v>
      </c>
      <c r="C93" t="s">
        <v>30</v>
      </c>
      <c r="D93">
        <v>0.11600000000000001</v>
      </c>
      <c r="E93" t="s">
        <v>31</v>
      </c>
      <c r="F93">
        <v>5.5460000000000003</v>
      </c>
      <c r="G93" t="s">
        <v>11</v>
      </c>
      <c r="H93">
        <v>336.71899999999999</v>
      </c>
      <c r="I93" t="s">
        <v>12</v>
      </c>
      <c r="J93">
        <v>217.48</v>
      </c>
      <c r="K93" t="s">
        <v>32</v>
      </c>
      <c r="L93">
        <v>0.113</v>
      </c>
      <c r="M93" t="s">
        <v>28</v>
      </c>
    </row>
    <row r="94" spans="1:15" x14ac:dyDescent="0.2">
      <c r="A94">
        <v>9948</v>
      </c>
      <c r="B94">
        <v>1080.654</v>
      </c>
      <c r="C94" t="s">
        <v>30</v>
      </c>
      <c r="D94">
        <v>0.109</v>
      </c>
      <c r="E94" t="s">
        <v>31</v>
      </c>
      <c r="F94">
        <v>5.593</v>
      </c>
      <c r="G94" t="s">
        <v>11</v>
      </c>
      <c r="H94">
        <v>417.21899999999999</v>
      </c>
      <c r="I94" t="s">
        <v>12</v>
      </c>
      <c r="J94">
        <v>205.38300000000001</v>
      </c>
      <c r="K94" t="s">
        <v>32</v>
      </c>
      <c r="L94">
        <v>3.2000000000000001E-2</v>
      </c>
      <c r="M94" t="s">
        <v>28</v>
      </c>
    </row>
    <row r="95" spans="1:15" x14ac:dyDescent="0.2">
      <c r="A95">
        <v>9992</v>
      </c>
      <c r="B95">
        <v>923.86500000000001</v>
      </c>
      <c r="C95" t="s">
        <v>30</v>
      </c>
      <c r="D95">
        <v>0.108</v>
      </c>
      <c r="E95" t="s">
        <v>31</v>
      </c>
      <c r="F95">
        <v>2.746</v>
      </c>
      <c r="G95" t="s">
        <v>11</v>
      </c>
      <c r="H95">
        <v>433.78399999999999</v>
      </c>
      <c r="I95" t="s">
        <v>12</v>
      </c>
      <c r="J95">
        <v>206.745</v>
      </c>
      <c r="K95" t="s">
        <v>32</v>
      </c>
      <c r="L95">
        <v>4.2000000000000003E-2</v>
      </c>
      <c r="M95" t="s">
        <v>28</v>
      </c>
    </row>
    <row r="96" spans="1:15" x14ac:dyDescent="0.2">
      <c r="A96">
        <v>9954</v>
      </c>
      <c r="B96">
        <v>1109.7460000000001</v>
      </c>
      <c r="C96" t="s">
        <v>30</v>
      </c>
      <c r="D96">
        <v>0.108</v>
      </c>
      <c r="E96" t="s">
        <v>31</v>
      </c>
      <c r="F96">
        <v>3.7029999999999998</v>
      </c>
      <c r="G96" t="s">
        <v>11</v>
      </c>
      <c r="H96">
        <v>438.58499999999998</v>
      </c>
      <c r="I96" t="s">
        <v>12</v>
      </c>
      <c r="J96">
        <v>202.57900000000001</v>
      </c>
      <c r="K96" t="s">
        <v>32</v>
      </c>
      <c r="L96">
        <v>0.375</v>
      </c>
      <c r="M96" t="s">
        <v>13</v>
      </c>
      <c r="N96">
        <v>634.947</v>
      </c>
      <c r="O96" t="s">
        <v>28</v>
      </c>
    </row>
    <row r="97" spans="1:15" x14ac:dyDescent="0.2">
      <c r="A97">
        <v>9956</v>
      </c>
      <c r="B97">
        <v>928.51499999999999</v>
      </c>
      <c r="C97" t="s">
        <v>30</v>
      </c>
      <c r="D97">
        <v>0.108</v>
      </c>
      <c r="E97" t="s">
        <v>31</v>
      </c>
      <c r="F97">
        <v>5.1130000000000004</v>
      </c>
      <c r="G97" t="s">
        <v>11</v>
      </c>
      <c r="H97">
        <v>445.66</v>
      </c>
      <c r="I97" t="s">
        <v>12</v>
      </c>
      <c r="J97">
        <v>210.47</v>
      </c>
      <c r="K97" t="s">
        <v>32</v>
      </c>
      <c r="L97">
        <v>3.7999999999999999E-2</v>
      </c>
      <c r="M97" t="s">
        <v>28</v>
      </c>
    </row>
    <row r="98" spans="1:15" x14ac:dyDescent="0.2">
      <c r="A98">
        <v>10000</v>
      </c>
      <c r="B98">
        <v>1120.711</v>
      </c>
      <c r="C98" t="s">
        <v>30</v>
      </c>
      <c r="D98">
        <v>0.115</v>
      </c>
      <c r="E98" t="s">
        <v>31</v>
      </c>
      <c r="F98">
        <v>2.952</v>
      </c>
      <c r="G98" t="s">
        <v>11</v>
      </c>
      <c r="H98">
        <v>457.27</v>
      </c>
      <c r="I98" t="s">
        <v>12</v>
      </c>
      <c r="J98">
        <v>207.596</v>
      </c>
      <c r="K98" t="s">
        <v>32</v>
      </c>
      <c r="L98">
        <v>5.7000000000000002E-2</v>
      </c>
      <c r="M98" t="s">
        <v>28</v>
      </c>
    </row>
    <row r="99" spans="1:15" x14ac:dyDescent="0.2">
      <c r="A99">
        <v>9938</v>
      </c>
      <c r="B99">
        <v>1091.771</v>
      </c>
      <c r="C99" t="s">
        <v>30</v>
      </c>
      <c r="D99">
        <v>0.16700000000000001</v>
      </c>
      <c r="E99" t="s">
        <v>31</v>
      </c>
      <c r="F99">
        <v>5.4939999999999998</v>
      </c>
      <c r="G99" t="s">
        <v>11</v>
      </c>
      <c r="H99">
        <v>458.95499999999998</v>
      </c>
      <c r="I99" t="s">
        <v>12</v>
      </c>
      <c r="J99">
        <v>208.19499999999999</v>
      </c>
      <c r="K99" t="s">
        <v>32</v>
      </c>
      <c r="L99">
        <v>3.9E-2</v>
      </c>
      <c r="M99" t="s">
        <v>28</v>
      </c>
    </row>
    <row r="100" spans="1:15" x14ac:dyDescent="0.2">
      <c r="A100">
        <v>9997</v>
      </c>
      <c r="B100">
        <v>1122.463</v>
      </c>
      <c r="C100" t="s">
        <v>30</v>
      </c>
      <c r="D100">
        <v>0.108</v>
      </c>
      <c r="E100" t="s">
        <v>31</v>
      </c>
      <c r="F100">
        <v>1.911</v>
      </c>
      <c r="G100" t="s">
        <v>11</v>
      </c>
      <c r="H100">
        <v>462.26400000000001</v>
      </c>
      <c r="I100" t="s">
        <v>12</v>
      </c>
      <c r="J100">
        <v>230.17</v>
      </c>
      <c r="K100" t="s">
        <v>32</v>
      </c>
      <c r="L100">
        <v>4.1000000000000002E-2</v>
      </c>
      <c r="M100" t="s">
        <v>28</v>
      </c>
    </row>
    <row r="101" spans="1:15" x14ac:dyDescent="0.2">
      <c r="A101">
        <v>9940</v>
      </c>
      <c r="B101">
        <v>1093.037</v>
      </c>
      <c r="C101" t="s">
        <v>30</v>
      </c>
      <c r="D101">
        <v>0.108</v>
      </c>
      <c r="E101" t="s">
        <v>31</v>
      </c>
      <c r="F101">
        <v>5.8140000000000001</v>
      </c>
      <c r="G101" t="s">
        <v>11</v>
      </c>
      <c r="H101">
        <v>468.596</v>
      </c>
      <c r="I101" t="s">
        <v>12</v>
      </c>
      <c r="J101">
        <v>205.797</v>
      </c>
      <c r="K101" t="s">
        <v>32</v>
      </c>
      <c r="L101">
        <v>3.9E-2</v>
      </c>
      <c r="M101" t="s">
        <v>28</v>
      </c>
    </row>
    <row r="102" spans="1:15" x14ac:dyDescent="0.2">
      <c r="A102">
        <v>9953</v>
      </c>
      <c r="B102">
        <v>1126.492</v>
      </c>
      <c r="C102" t="s">
        <v>30</v>
      </c>
      <c r="D102">
        <v>0.111</v>
      </c>
      <c r="E102" t="s">
        <v>31</v>
      </c>
      <c r="F102">
        <v>2.17</v>
      </c>
      <c r="G102" t="s">
        <v>11</v>
      </c>
      <c r="H102">
        <v>497.27699999999999</v>
      </c>
      <c r="I102" t="s">
        <v>12</v>
      </c>
      <c r="J102">
        <v>197.345</v>
      </c>
      <c r="K102" t="s">
        <v>32</v>
      </c>
      <c r="L102">
        <v>2.7410000000000001</v>
      </c>
      <c r="M102" t="s">
        <v>13</v>
      </c>
      <c r="N102">
        <v>656.14</v>
      </c>
      <c r="O102" t="s">
        <v>28</v>
      </c>
    </row>
  </sheetData>
  <autoFilter ref="A1:Q102" xr:uid="{67C6226A-ABDF-4A08-82A9-477B53B06893}">
    <sortState xmlns:xlrd2="http://schemas.microsoft.com/office/spreadsheetml/2017/richdata2" ref="A2:Q102">
      <sortCondition ref="H1:H102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2026-05-03T15:15:02Z</dcterms:modified>
</cp:coreProperties>
</file>