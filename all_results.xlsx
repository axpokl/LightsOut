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A0AE04E1-37AF-4624-B263-76155BD6472F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71" i="2" l="1"/>
  <c r="Z71" i="2"/>
  <c r="Y71" i="2"/>
  <c r="X71" i="2"/>
  <c r="W71" i="2"/>
  <c r="M71" i="2"/>
  <c r="L71" i="2" s="1"/>
  <c r="U71" i="2" s="1"/>
  <c r="D71" i="2"/>
  <c r="C71" i="2" s="1"/>
  <c r="B71" i="2"/>
  <c r="AA70" i="2"/>
  <c r="Z70" i="2"/>
  <c r="Y70" i="2"/>
  <c r="X70" i="2"/>
  <c r="W70" i="2"/>
  <c r="M70" i="2"/>
  <c r="D70" i="2"/>
  <c r="D69" i="2"/>
  <c r="M69" i="2"/>
  <c r="K69" i="2" s="1"/>
  <c r="AA69" i="2"/>
  <c r="Z69" i="2"/>
  <c r="Y69" i="2"/>
  <c r="X69" i="2"/>
  <c r="W69" i="2"/>
  <c r="AA68" i="2"/>
  <c r="Z68" i="2"/>
  <c r="Y68" i="2"/>
  <c r="X68" i="2"/>
  <c r="W68" i="2"/>
  <c r="M68" i="2"/>
  <c r="L69" i="2" s="1"/>
  <c r="D68" i="2"/>
  <c r="AA67" i="2"/>
  <c r="Z67" i="2"/>
  <c r="Y67" i="2"/>
  <c r="X67" i="2"/>
  <c r="W67" i="2"/>
  <c r="M67" i="2"/>
  <c r="D67" i="2"/>
  <c r="AA66" i="2"/>
  <c r="Z66" i="2"/>
  <c r="Y66" i="2"/>
  <c r="X66" i="2"/>
  <c r="W66" i="2"/>
  <c r="M66" i="2"/>
  <c r="D66" i="2"/>
  <c r="M65" i="2"/>
  <c r="AA65" i="2"/>
  <c r="Z65" i="2"/>
  <c r="Y65" i="2"/>
  <c r="X65" i="2"/>
  <c r="W65" i="2"/>
  <c r="D65" i="2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B69" i="2" s="1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V71" i="2" l="1"/>
  <c r="K71" i="2"/>
  <c r="T71" i="2" s="1"/>
  <c r="C70" i="2"/>
  <c r="C69" i="2"/>
  <c r="L70" i="2"/>
  <c r="U69" i="2"/>
  <c r="V70" i="2"/>
  <c r="K70" i="2"/>
  <c r="B70" i="2"/>
  <c r="T69" i="2"/>
  <c r="V67" i="2"/>
  <c r="V69" i="2"/>
  <c r="L67" i="2"/>
  <c r="V68" i="2"/>
  <c r="L68" i="2"/>
  <c r="L64" i="2"/>
  <c r="B68" i="2"/>
  <c r="C68" i="2"/>
  <c r="U68" i="2" s="1"/>
  <c r="K68" i="2"/>
  <c r="K67" i="2"/>
  <c r="C67" i="2"/>
  <c r="U67" i="2" s="1"/>
  <c r="B67" i="2"/>
  <c r="T67" i="2" s="1"/>
  <c r="C66" i="2"/>
  <c r="L66" i="2"/>
  <c r="V66" i="2"/>
  <c r="K66" i="2"/>
  <c r="B66" i="2"/>
  <c r="C65" i="2"/>
  <c r="L65" i="2"/>
  <c r="V65" i="2"/>
  <c r="K65" i="2"/>
  <c r="B65" i="2"/>
  <c r="V64" i="2"/>
  <c r="C64" i="2"/>
  <c r="B64" i="2"/>
  <c r="T64" i="2" s="1"/>
  <c r="L63" i="2"/>
  <c r="C62" i="2"/>
  <c r="C63" i="2"/>
  <c r="U63" i="2" s="1"/>
  <c r="V63" i="2"/>
  <c r="K63" i="2"/>
  <c r="B63" i="2"/>
  <c r="V62" i="2"/>
  <c r="L62" i="2"/>
  <c r="K62" i="2"/>
  <c r="B62" i="2"/>
  <c r="T62" i="2" s="1"/>
  <c r="C61" i="2"/>
  <c r="V60" i="2"/>
  <c r="L61" i="2"/>
  <c r="V61" i="2"/>
  <c r="B61" i="2"/>
  <c r="T61" i="2" s="1"/>
  <c r="L60" i="2"/>
  <c r="C58" i="2"/>
  <c r="C60" i="2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70" i="2" l="1"/>
  <c r="U70" i="2"/>
  <c r="U66" i="2"/>
  <c r="U65" i="2"/>
  <c r="U64" i="2"/>
  <c r="T68" i="2"/>
  <c r="U62" i="2"/>
  <c r="T66" i="2"/>
  <c r="T65" i="2"/>
  <c r="U60" i="2"/>
  <c r="T63" i="2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<sst xmlns="http://schemas.openxmlformats.org/spreadsheetml/2006/main" count="237" uniqueCount="81">
  <si>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</si>
  <si>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</si>
  <si>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</si>
  <si>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</si>
  <si>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</si>
  <si>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</si>
  <si>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</si>
  <si>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</si>
  <si>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</si>
  <si>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</si>
  <si>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</si>
  <si>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</si>
  <si>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</si>
  <si>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</si>
  <si>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</si>
  <si>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</si>
  <si>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</si>
  <si>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</si>
  <si>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</si>
  <si>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</si>
  <si>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</si>
  <si>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</si>
  <si>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</si>
  <si>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</si>
  <si>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</si>
  <si>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</si>
  <si>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</si>
  <si>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</si>
  <si>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</si>
  <si>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</si>
  <si>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</si>
  <si>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</si>
  <si>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</si>
  <si>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</si>
  <si>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</si>
  <si>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</si>
  <si>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</si>
  <si>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</si>
  <si>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</si>
  <si>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</si>
  <si>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</si>
  <si>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</si>
  <si>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</si>
  <si>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</si>
  <si>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</si>
  <si>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</si>
  <si>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</si>
  <si>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</si>
  <si>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</si>
  <si>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</si>
  <si>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</si>
  <si>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</si>
  <si>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</si>
  <si>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</si>
  <si>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</si>
  <si>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</si>
  <si>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</si>
  <si>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</si>
  <si>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</si>
  <si>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</si>
  <si>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</si>
  <si>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</si>
  <si>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</si>
  <si>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</si>
  <si>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</si>
  <si>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</si>
  <si>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</si>
  <si>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</si>
  <si>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</si>
  <si>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</si>
  <si>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</si>
  <si>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</si>
  <si>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</si>
  <si>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</si>
  <si>
    <t>H85</t>
    <phoneticPr fontId="2" type="noConversion"/>
  </si>
  <si>
    <t>H86</t>
    <phoneticPr fontId="2" type="noConversion"/>
  </si>
  <si>
    <t>H87</t>
    <phoneticPr fontId="2" type="noConversion"/>
  </si>
  <si>
    <t>H88</t>
    <phoneticPr fontId="2" type="noConversion"/>
  </si>
  <si>
    <t>H89</t>
    <phoneticPr fontId="2" type="noConversion"/>
  </si>
  <si>
    <t>H90</t>
    <phoneticPr fontId="2" type="noConversion"/>
  </si>
  <si>
    <t>H91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</si>
</sst>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71"/>
  <sheetViews>
    <sheetView tabSelected="1" topLeftCell="A44" workbookViewId="0">
      <selection activeCell="AA71" sqref="AA71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9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12" t="s">
        <v>59</v>
      </c>
      <c r="B51" s="2">
        <f t="shared" ref="B51" si="360">D$2/D51</f>
        <v>32.608300907911797</v>
      </c>
      <c r="C51" s="2">
        <f t="shared" ref="C51" si="361">D50/D51</f>
        <v>1.1335927367055771</v>
      </c>
      <c r="D51" s="6">
        <f t="shared" ref="D51" si="362">SUM(F51:H51)</f>
        <v>15.42</v>
      </c>
      <c r="E51" s="9">
        <v>0.66</v>
      </c>
      <c r="F51" s="9">
        <v>7.76</v>
      </c>
      <c r="G51" s="13">
        <v>7.01</v>
      </c>
      <c r="H51" s="9">
        <v>0.65</v>
      </c>
      <c r="I51" s="14">
        <v>4.96</v>
      </c>
      <c r="J51" s="12" t="s">
        <v>59</v>
      </c>
      <c r="K51" s="2">
        <f t="shared" ref="K51:K53" si="363">M$2/M51</f>
        <v>62.253731343283569</v>
      </c>
      <c r="L51" s="2">
        <f t="shared" ref="L51:L53" si="364">M50/M51</f>
        <v>1.1044776119402984</v>
      </c>
      <c r="M51" s="6">
        <f t="shared" ref="M51:M53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59</v>
      </c>
      <c r="T51" s="2">
        <f t="shared" ref="T51" si="366">ROUND(B51/K51,3)</f>
        <v>0.52400000000000002</v>
      </c>
      <c r="U51" s="2">
        <f t="shared" ref="U51" si="367">ROUND(C51/L51,3)</f>
        <v>1.026</v>
      </c>
      <c r="V51" s="6">
        <f t="shared" ref="V51" si="368">ROUND(D51/M51,3)</f>
        <v>23.015000000000001</v>
      </c>
      <c r="W51" s="9">
        <f t="shared" ref="W51" si="369">ROUND(E51/N51,3)</f>
        <v>9.4290000000000003</v>
      </c>
      <c r="X51" s="9">
        <f t="shared" ref="X51" si="370">ROUND(F51/O51,3)</f>
        <v>16.510999999999999</v>
      </c>
      <c r="Y51" s="13">
        <f t="shared" ref="Y51" si="371">ROUND(G51/P51,3)</f>
        <v>41.234999999999999</v>
      </c>
      <c r="Z51" s="9">
        <f t="shared" ref="Z51" si="372">ROUND(H51/Q51,3)</f>
        <v>21.667000000000002</v>
      </c>
      <c r="AA51" s="14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33.655957161981256</v>
      </c>
      <c r="C54" s="5">
        <f t="shared" ref="C54" si="386">D53/D54</f>
        <v>1.0127175368139225</v>
      </c>
      <c r="D54" s="4">
        <f t="shared" ref="D54" si="387">SUM(F54:H54)</f>
        <v>14.94</v>
      </c>
      <c r="E54" s="13">
        <v>0.4</v>
      </c>
      <c r="F54" s="9">
        <v>7.52</v>
      </c>
      <c r="G54" s="9">
        <v>6.76</v>
      </c>
      <c r="H54" s="9">
        <v>0.66</v>
      </c>
      <c r="I54" s="10">
        <v>4.6900000000000004</v>
      </c>
      <c r="J54" s="12" t="s">
        <v>62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0.06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0.52400000000000002</v>
      </c>
      <c r="U54" s="5">
        <f t="shared" ref="U54" si="392">ROUND(C54/L54,3)</f>
        <v>1.0129999999999999</v>
      </c>
      <c r="V54" s="4">
        <f t="shared" ref="V54" si="393">ROUND(D54/M54,3)</f>
        <v>22.984999999999999</v>
      </c>
      <c r="W54" s="13">
        <f t="shared" ref="W54" si="394">ROUND(E54/N54,3)</f>
        <v>6.6669999999999998</v>
      </c>
      <c r="X54" s="9">
        <f t="shared" ref="X54" si="395">ROUND(F54/O54,3)</f>
        <v>16</v>
      </c>
      <c r="Y54" s="9">
        <f t="shared" ref="Y54" si="396">ROUND(G54/P54,3)</f>
        <v>45.067</v>
      </c>
      <c r="Z54" s="9">
        <f t="shared" ref="Z54" si="397">ROUND(H54/Q54,3)</f>
        <v>22</v>
      </c>
      <c r="AA54" s="10">
        <f t="shared" ref="AA54" si="398">ROUND(I54/R54,3)</f>
        <v>31.266999999999999</v>
      </c>
    </row>
    <row r="55" spans="1:28" ht="14.25" customHeight="1" x14ac:dyDescent="0.2">
      <c r="A55" s="12" t="s">
        <v>63</v>
      </c>
      <c r="B55" s="2">
        <f t="shared" ref="B55:B56" si="399">D$2/D55</f>
        <v>46.385608856088552</v>
      </c>
      <c r="C55" s="2">
        <f t="shared" ref="C55:C56" si="400">D54/D55</f>
        <v>1.3782287822878228</v>
      </c>
      <c r="D55" s="6">
        <f t="shared" ref="D55:D56" si="401">SUM(F55:H55)</f>
        <v>10.84</v>
      </c>
      <c r="E55" s="9">
        <v>0.5</v>
      </c>
      <c r="F55" s="9">
        <v>7.3</v>
      </c>
      <c r="G55" s="13">
        <v>3.29</v>
      </c>
      <c r="H55" s="13">
        <v>0.25</v>
      </c>
      <c r="I55" s="14">
        <v>2.74</v>
      </c>
      <c r="J55" s="12" t="s">
        <v>63</v>
      </c>
      <c r="K55" s="2">
        <f t="shared" ref="K55:K56" si="402">M$2/M55</f>
        <v>64.169230769230751</v>
      </c>
      <c r="L55" s="2">
        <f t="shared" ref="L55:L56" si="403">M54/M55</f>
        <v>1</v>
      </c>
      <c r="M55" s="6">
        <f t="shared" ref="M55:M56" si="404">SUM(O55:Q55)</f>
        <v>0.65</v>
      </c>
      <c r="N55" s="9">
        <v>0.09</v>
      </c>
      <c r="O55" s="9">
        <v>0.47</v>
      </c>
      <c r="P55" s="13">
        <v>0.15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0.72299999999999998</v>
      </c>
      <c r="U55" s="2">
        <f t="shared" ref="U55" si="406">ROUND(C55/L55,3)</f>
        <v>1.3779999999999999</v>
      </c>
      <c r="V55" s="6">
        <f t="shared" ref="V55" si="407">ROUND(D55/M55,3)</f>
        <v>16.677</v>
      </c>
      <c r="W55" s="9">
        <f t="shared" ref="W55" si="408">ROUND(E55/N55,3)</f>
        <v>5.556</v>
      </c>
      <c r="X55" s="9">
        <f t="shared" ref="X55" si="409">ROUND(F55/O55,3)</f>
        <v>15.532</v>
      </c>
      <c r="Y55" s="13">
        <f t="shared" ref="Y55" si="410">ROUND(G55/P55,3)</f>
        <v>21.933</v>
      </c>
      <c r="Z55" s="13">
        <f t="shared" ref="Z55" si="411">ROUND(H55/Q55,3)</f>
        <v>8.3330000000000002</v>
      </c>
      <c r="AA55" s="14">
        <f t="shared" ref="AA55" si="412">ROUND(I55/R55,3)</f>
        <v>18.266999999999999</v>
      </c>
    </row>
    <row r="56" spans="1:28" s="18" customFormat="1" ht="14.25" customHeight="1" x14ac:dyDescent="0.2">
      <c r="A56" s="20" t="s">
        <v>64</v>
      </c>
      <c r="B56" s="5">
        <f t="shared" si="399"/>
        <v>46.385608856088552</v>
      </c>
      <c r="C56" s="5">
        <f t="shared" si="400"/>
        <v>1</v>
      </c>
      <c r="D56" s="4">
        <f t="shared" si="401"/>
        <v>10.84</v>
      </c>
      <c r="E56" s="13">
        <v>0.39</v>
      </c>
      <c r="F56" s="18">
        <v>7.27</v>
      </c>
      <c r="G56" s="18">
        <v>3.32</v>
      </c>
      <c r="H56" s="13">
        <v>0.25</v>
      </c>
      <c r="I56" s="19">
        <v>2.76</v>
      </c>
      <c r="J56" s="20" t="s">
        <v>64</v>
      </c>
      <c r="K56" s="5">
        <f t="shared" si="402"/>
        <v>64.169230769230751</v>
      </c>
      <c r="L56" s="5">
        <f t="shared" si="403"/>
        <v>1</v>
      </c>
      <c r="M56" s="4">
        <f t="shared" si="404"/>
        <v>0.65</v>
      </c>
      <c r="N56" s="13">
        <v>7.0000000000000007E-2</v>
      </c>
      <c r="O56" s="18">
        <v>0.48</v>
      </c>
      <c r="P56" s="18">
        <v>0.15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0.72299999999999998</v>
      </c>
      <c r="U56" s="5">
        <f t="shared" ref="U56" si="414">ROUND(C56/L56,3)</f>
        <v>1</v>
      </c>
      <c r="V56" s="4">
        <f t="shared" ref="V56" si="415">ROUND(D56/M56,3)</f>
        <v>16.677</v>
      </c>
      <c r="W56" s="13">
        <f t="shared" ref="W56" si="416">ROUND(E56/N56,3)</f>
        <v>5.5709999999999997</v>
      </c>
      <c r="X56" s="18">
        <f t="shared" ref="X56" si="417">ROUND(F56/O56,3)</f>
        <v>15.146000000000001</v>
      </c>
      <c r="Y56" s="18">
        <f t="shared" ref="Y56" si="418">ROUND(G56/P56,3)</f>
        <v>22.132999999999999</v>
      </c>
      <c r="Z56" s="13">
        <f t="shared" ref="Z56" si="419">ROUND(H56/Q56,3)</f>
        <v>12.5</v>
      </c>
      <c r="AA56" s="19">
        <f t="shared" ref="AA56" si="420">ROUND(I56/R56,3)</f>
        <v>18.399999999999999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50.281999999999996</v>
      </c>
      <c r="C57" s="2">
        <f t="shared" ref="C57:C58" si="422">D56/D57</f>
        <v>1.0840000000000001</v>
      </c>
      <c r="D57" s="6">
        <f t="shared" ref="D57:D58" si="423">SUM(F57:H57)</f>
        <v>10</v>
      </c>
      <c r="E57" s="9">
        <v>0.42</v>
      </c>
      <c r="F57" s="13">
        <v>6.58</v>
      </c>
      <c r="G57" s="13">
        <v>3.18</v>
      </c>
      <c r="H57" s="13">
        <v>0.24</v>
      </c>
      <c r="I57" s="14">
        <v>2.62</v>
      </c>
      <c r="J57" s="12" t="s">
        <v>65</v>
      </c>
      <c r="K57" s="2">
        <f t="shared" ref="K57:K58" si="424">M$2/M57</f>
        <v>64.169230769230751</v>
      </c>
      <c r="L57" s="2">
        <f t="shared" ref="L57:L58" si="425">M56/M57</f>
        <v>1</v>
      </c>
      <c r="M57" s="6">
        <f t="shared" ref="M57:M58" si="426">SUM(O57:Q57)</f>
        <v>0.65</v>
      </c>
      <c r="N57" s="9">
        <v>0.06</v>
      </c>
      <c r="O57" s="13">
        <v>0.48</v>
      </c>
      <c r="P57" s="13">
        <v>0.15</v>
      </c>
      <c r="Q57" s="13">
        <v>0.02</v>
      </c>
      <c r="R57" s="14">
        <v>0.14000000000000001</v>
      </c>
      <c r="S57" s="12" t="s">
        <v>65</v>
      </c>
      <c r="T57" s="2">
        <f t="shared" ref="T57:T58" si="427">ROUND(B57/K57,3)</f>
        <v>0.78400000000000003</v>
      </c>
      <c r="U57" s="2">
        <f t="shared" ref="U57:U58" si="428">ROUND(C57/L57,3)</f>
        <v>1.0840000000000001</v>
      </c>
      <c r="V57" s="6">
        <f t="shared" ref="V57:V58" si="429">ROUND(D57/M57,3)</f>
        <v>15.385</v>
      </c>
      <c r="W57" s="9">
        <f t="shared" ref="W57:W58" si="430">ROUND(E57/N57,3)</f>
        <v>7</v>
      </c>
      <c r="X57" s="13">
        <f t="shared" ref="X57:X58" si="431">ROUND(F57/O57,3)</f>
        <v>13.708</v>
      </c>
      <c r="Y57" s="13">
        <f t="shared" ref="Y57:Y58" si="432">ROUND(G57/P57,3)</f>
        <v>21.2</v>
      </c>
      <c r="Z57" s="13">
        <f t="shared" ref="Z57:Z58" si="433">ROUND(H57/Q57,3)</f>
        <v>12</v>
      </c>
      <c r="AA57" s="14">
        <f t="shared" ref="AA57:AA58" si="434">ROUND(I57/R57,3)</f>
        <v>18.713999999999999</v>
      </c>
    </row>
    <row r="58" spans="1:28" ht="14.25" customHeight="1" x14ac:dyDescent="0.2">
      <c r="A58" s="12" t="s">
        <v>66</v>
      </c>
      <c r="B58" s="2">
        <f t="shared" si="421"/>
        <v>52.051759834368525</v>
      </c>
      <c r="C58" s="2">
        <f t="shared" si="422"/>
        <v>1.0351966873706004</v>
      </c>
      <c r="D58" s="6">
        <f t="shared" si="423"/>
        <v>9.66</v>
      </c>
      <c r="E58" s="9">
        <v>0.4</v>
      </c>
      <c r="F58" s="13">
        <v>6.44</v>
      </c>
      <c r="G58" s="13">
        <v>2.99</v>
      </c>
      <c r="H58" s="9">
        <v>0.23</v>
      </c>
      <c r="I58" s="14">
        <v>2.4300000000000002</v>
      </c>
      <c r="J58" s="12" t="s">
        <v>66</v>
      </c>
      <c r="K58" s="2">
        <f t="shared" si="424"/>
        <v>65.171874999999986</v>
      </c>
      <c r="L58" s="2">
        <f t="shared" si="425"/>
        <v>1.015625</v>
      </c>
      <c r="M58" s="6">
        <f t="shared" si="426"/>
        <v>0.64</v>
      </c>
      <c r="N58" s="9">
        <v>0.06</v>
      </c>
      <c r="O58" s="13">
        <v>0.47</v>
      </c>
      <c r="P58" s="13">
        <v>0.15</v>
      </c>
      <c r="Q58" s="9">
        <v>0.02</v>
      </c>
      <c r="R58" s="14">
        <v>0.15</v>
      </c>
      <c r="S58" s="12" t="s">
        <v>66</v>
      </c>
      <c r="T58" s="2">
        <f t="shared" si="427"/>
        <v>0.79900000000000004</v>
      </c>
      <c r="U58" s="2">
        <f t="shared" si="428"/>
        <v>1.0189999999999999</v>
      </c>
      <c r="V58" s="6">
        <f t="shared" si="429"/>
        <v>15.093999999999999</v>
      </c>
      <c r="W58" s="9">
        <f t="shared" si="430"/>
        <v>6.6669999999999998</v>
      </c>
      <c r="X58" s="13">
        <f t="shared" si="431"/>
        <v>13.702</v>
      </c>
      <c r="Y58" s="13">
        <f t="shared" si="432"/>
        <v>19.933</v>
      </c>
      <c r="Z58" s="9">
        <f t="shared" si="433"/>
        <v>11.5</v>
      </c>
      <c r="AA58" s="14">
        <f t="shared" si="434"/>
        <v>16.2</v>
      </c>
    </row>
    <row r="59" spans="1:28" ht="14.25" customHeight="1" x14ac:dyDescent="0.2">
      <c r="A59" s="12" t="s">
        <v>67</v>
      </c>
      <c r="B59" s="2">
        <f t="shared" ref="B59" si="435">D$2/D59</f>
        <v>56.055741360089172</v>
      </c>
      <c r="C59" s="2">
        <f t="shared" ref="C59" si="436">D58/D59</f>
        <v>1.0769230769230769</v>
      </c>
      <c r="D59" s="6">
        <f t="shared" ref="D59" si="437">SUM(F59:H59)</f>
        <v>8.9700000000000006</v>
      </c>
      <c r="E59" s="9">
        <v>0.39</v>
      </c>
      <c r="F59" s="13">
        <v>6.09</v>
      </c>
      <c r="G59" s="13">
        <v>2.65</v>
      </c>
      <c r="H59" s="9">
        <v>0.23</v>
      </c>
      <c r="I59" s="14">
        <v>2.08</v>
      </c>
      <c r="J59" s="12" t="s">
        <v>67</v>
      </c>
      <c r="K59" s="2">
        <f t="shared" ref="K59" si="438">M$2/M59</f>
        <v>68.377049180327845</v>
      </c>
      <c r="L59" s="2">
        <f t="shared" ref="L59" si="439">M58/M59</f>
        <v>1.0491803278688523</v>
      </c>
      <c r="M59" s="6">
        <f t="shared" ref="M59" si="440">SUM(O59:Q59)</f>
        <v>0.6100000000000001</v>
      </c>
      <c r="N59" s="9">
        <v>0.09</v>
      </c>
      <c r="O59" s="13">
        <v>0.45</v>
      </c>
      <c r="P59" s="13">
        <v>0.14000000000000001</v>
      </c>
      <c r="Q59" s="9">
        <v>0.02</v>
      </c>
      <c r="R59" s="14">
        <v>0.14000000000000001</v>
      </c>
      <c r="S59" s="12" t="s">
        <v>67</v>
      </c>
      <c r="T59" s="2">
        <f t="shared" ref="T59" si="441">ROUND(B59/K59,3)</f>
        <v>0.82</v>
      </c>
      <c r="U59" s="2">
        <f t="shared" ref="U59" si="442">ROUND(C59/L59,3)</f>
        <v>1.026</v>
      </c>
      <c r="V59" s="6">
        <f t="shared" ref="V59" si="443">ROUND(D59/M59,3)</f>
        <v>14.705</v>
      </c>
      <c r="W59" s="9">
        <f t="shared" ref="W59" si="444">ROUND(E59/N59,3)</f>
        <v>4.3330000000000002</v>
      </c>
      <c r="X59" s="13">
        <f t="shared" ref="X59" si="445">ROUND(F59/O59,3)</f>
        <v>13.532999999999999</v>
      </c>
      <c r="Y59" s="13">
        <f t="shared" ref="Y59" si="446">ROUND(G59/P59,3)</f>
        <v>18.928999999999998</v>
      </c>
      <c r="Z59" s="9">
        <f t="shared" ref="Z59" si="447">ROUND(H59/Q59,3)</f>
        <v>11.5</v>
      </c>
      <c r="AA59" s="14">
        <f t="shared" ref="AA59" si="448">ROUND(I59/R59,3)</f>
        <v>14.856999999999999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56.560179977502798</v>
      </c>
      <c r="C60" s="5">
        <f t="shared" ref="C60" si="450">D59/D60</f>
        <v>1.0089988751406074</v>
      </c>
      <c r="D60" s="4">
        <f t="shared" ref="D60" si="451">SUM(F60:H60)</f>
        <v>8.89</v>
      </c>
      <c r="E60" s="18">
        <v>0.41</v>
      </c>
      <c r="F60" s="18">
        <v>6.06</v>
      </c>
      <c r="G60" s="18">
        <v>2.6</v>
      </c>
      <c r="H60" s="18">
        <v>0.23</v>
      </c>
      <c r="I60" s="19">
        <v>2.0299999999999998</v>
      </c>
      <c r="J60" s="20" t="s">
        <v>68</v>
      </c>
      <c r="K60" s="5">
        <f t="shared" ref="K60" si="452">M$2/M60</f>
        <v>68.377049180327845</v>
      </c>
      <c r="L60" s="5">
        <f t="shared" ref="L60" si="453">M59/M60</f>
        <v>1</v>
      </c>
      <c r="M60" s="4">
        <f t="shared" ref="M60" si="454">SUM(O60:Q60)</f>
        <v>0.6100000000000001</v>
      </c>
      <c r="N60" s="18">
        <v>0.09</v>
      </c>
      <c r="O60" s="18">
        <v>0.45</v>
      </c>
      <c r="P60" s="18">
        <v>0.14000000000000001</v>
      </c>
      <c r="Q60" s="18">
        <v>0.02</v>
      </c>
      <c r="R60" s="19">
        <v>0.14000000000000001</v>
      </c>
      <c r="S60" s="20" t="s">
        <v>68</v>
      </c>
      <c r="T60" s="5">
        <f t="shared" ref="T60" si="455">ROUND(B60/K60,3)</f>
        <v>0.82699999999999996</v>
      </c>
      <c r="U60" s="5">
        <f t="shared" ref="U60" si="456">ROUND(C60/L60,3)</f>
        <v>1.0089999999999999</v>
      </c>
      <c r="V60" s="4">
        <f t="shared" ref="V60" si="457">ROUND(D60/M60,3)</f>
        <v>14.574</v>
      </c>
      <c r="W60" s="18">
        <f t="shared" ref="W60" si="458">ROUND(E60/N60,3)</f>
        <v>4.556</v>
      </c>
      <c r="X60" s="18">
        <f t="shared" ref="X60" si="459">ROUND(F60/O60,3)</f>
        <v>13.467000000000001</v>
      </c>
      <c r="Y60" s="18">
        <f t="shared" ref="Y60" si="460">ROUND(G60/P60,3)</f>
        <v>18.571000000000002</v>
      </c>
      <c r="Z60" s="18">
        <f t="shared" ref="Z60" si="461">ROUND(H60/Q60,3)</f>
        <v>11.5</v>
      </c>
      <c r="AA60" s="19">
        <f t="shared" ref="AA60" si="462">ROUND(I60/R60,3)</f>
        <v>14.5</v>
      </c>
      <c r="AB60" s="20"/>
    </row>
    <row r="61" spans="1:28" ht="14.25" customHeight="1" x14ac:dyDescent="0.2">
      <c r="A61" s="20" t="s">
        <v>69</v>
      </c>
      <c r="B61" s="5">
        <f t="shared" ref="B61" si="463">D$2/D61</f>
        <v>57.928571428571423</v>
      </c>
      <c r="C61" s="5">
        <f t="shared" ref="C61" si="464">D60/D61</f>
        <v>1.024193548387097</v>
      </c>
      <c r="D61" s="4">
        <f t="shared" ref="D61" si="465">SUM(F61:H61)</f>
        <v>8.68</v>
      </c>
      <c r="E61" s="9">
        <v>0.44</v>
      </c>
      <c r="F61" s="13">
        <v>5.84</v>
      </c>
      <c r="G61" s="9">
        <v>2.6</v>
      </c>
      <c r="H61" s="18">
        <v>0.24</v>
      </c>
      <c r="I61" s="10">
        <v>2.0299999999999998</v>
      </c>
      <c r="J61" s="20" t="s">
        <v>69</v>
      </c>
      <c r="K61" s="5">
        <f t="shared" ref="K61" si="466">M$2/M61</f>
        <v>66.206349206349202</v>
      </c>
      <c r="L61" s="5">
        <f t="shared" ref="L61" si="467">M60/M61</f>
        <v>0.96825396825396837</v>
      </c>
      <c r="M61" s="4">
        <f t="shared" ref="M61" si="468">SUM(O61:Q61)</f>
        <v>0.63</v>
      </c>
      <c r="N61" s="9">
        <v>7.0000000000000007E-2</v>
      </c>
      <c r="O61" s="13">
        <v>0.47</v>
      </c>
      <c r="P61" s="9">
        <v>0.14000000000000001</v>
      </c>
      <c r="Q61" s="13">
        <v>0.02</v>
      </c>
      <c r="R61" s="10">
        <v>0.14000000000000001</v>
      </c>
      <c r="S61" s="20" t="s">
        <v>69</v>
      </c>
      <c r="T61" s="5">
        <f t="shared" ref="T61" si="469">ROUND(B61/K61,3)</f>
        <v>0.875</v>
      </c>
      <c r="U61" s="5">
        <f t="shared" ref="U61" si="470">ROUND(C61/L61,3)</f>
        <v>1.0580000000000001</v>
      </c>
      <c r="V61" s="4">
        <f t="shared" ref="V61" si="471">ROUND(D61/M61,3)</f>
        <v>13.778</v>
      </c>
      <c r="W61" s="9">
        <f t="shared" ref="W61" si="472">ROUND(E61/N61,3)</f>
        <v>6.2859999999999996</v>
      </c>
      <c r="X61" s="13">
        <f t="shared" ref="X61" si="473">ROUND(F61/O61,3)</f>
        <v>12.426</v>
      </c>
      <c r="Y61" s="9">
        <f t="shared" ref="Y61" si="474">ROUND(G61/P61,3)</f>
        <v>18.571000000000002</v>
      </c>
      <c r="Z61" s="18">
        <f t="shared" ref="Z61" si="475">ROUND(H61/Q61,3)</f>
        <v>12</v>
      </c>
      <c r="AA61" s="10">
        <f t="shared" ref="AA61" si="476">ROUND(I61/R61,3)</f>
        <v>14.5</v>
      </c>
    </row>
    <row r="62" spans="1:28" ht="14.25" customHeight="1" x14ac:dyDescent="0.2">
      <c r="A62" s="20" t="s">
        <v>70</v>
      </c>
      <c r="B62" s="5">
        <f t="shared" ref="B62" si="477">D$2/D62</f>
        <v>58.878220140515211</v>
      </c>
      <c r="C62" s="5">
        <f t="shared" ref="C62" si="478">D61/D62</f>
        <v>1.0163934426229506</v>
      </c>
      <c r="D62" s="4">
        <f t="shared" ref="D62" si="479">SUM(F62:H62)</f>
        <v>8.5400000000000009</v>
      </c>
      <c r="E62" s="9">
        <v>0.41</v>
      </c>
      <c r="F62" s="13">
        <v>5.7</v>
      </c>
      <c r="G62" s="9">
        <v>2.6</v>
      </c>
      <c r="H62" s="9">
        <v>0.24</v>
      </c>
      <c r="I62" s="10">
        <v>2.0299999999999998</v>
      </c>
      <c r="J62" s="20" t="s">
        <v>70</v>
      </c>
      <c r="K62" s="5">
        <f t="shared" ref="K62" si="480">M$2/M62</f>
        <v>68.377049180327845</v>
      </c>
      <c r="L62" s="5">
        <f t="shared" ref="L62" si="481">M61/M62</f>
        <v>1.0327868852459015</v>
      </c>
      <c r="M62" s="4">
        <f t="shared" ref="M62" si="482">SUM(O62:Q62)</f>
        <v>0.6100000000000001</v>
      </c>
      <c r="N62" s="9">
        <v>7.0000000000000007E-2</v>
      </c>
      <c r="O62" s="13">
        <v>0.45</v>
      </c>
      <c r="P62" s="9">
        <v>0.14000000000000001</v>
      </c>
      <c r="Q62" s="9">
        <v>0.02</v>
      </c>
      <c r="R62" s="10">
        <v>0.14000000000000001</v>
      </c>
      <c r="S62" s="20" t="s">
        <v>70</v>
      </c>
      <c r="T62" s="5">
        <f t="shared" ref="T62" si="483">ROUND(B62/K62,3)</f>
        <v>0.86099999999999999</v>
      </c>
      <c r="U62" s="5">
        <f t="shared" ref="U62" si="484">ROUND(C62/L62,3)</f>
        <v>0.98399999999999999</v>
      </c>
      <c r="V62" s="4">
        <f t="shared" ref="V62" si="485">ROUND(D62/M62,3)</f>
        <v>14</v>
      </c>
      <c r="W62" s="9">
        <f t="shared" ref="W62" si="486">ROUND(E62/N62,3)</f>
        <v>5.8570000000000002</v>
      </c>
      <c r="X62" s="13">
        <f t="shared" ref="X62" si="487">ROUND(F62/O62,3)</f>
        <v>12.667</v>
      </c>
      <c r="Y62" s="9">
        <f t="shared" ref="Y62" si="488">ROUND(G62/P62,3)</f>
        <v>18.571000000000002</v>
      </c>
      <c r="Z62" s="18">
        <f t="shared" ref="Z62" si="489">ROUND(H62/Q62,3)</f>
        <v>12</v>
      </c>
      <c r="AA62" s="10">
        <f t="shared" ref="AA62" si="490">ROUND(I62/R62,3)</f>
        <v>14.5</v>
      </c>
    </row>
    <row r="63" spans="1:28" ht="14.25" customHeight="1" x14ac:dyDescent="0.2">
      <c r="A63" s="20" t="s">
        <v>71</v>
      </c>
      <c r="B63" s="5">
        <f t="shared" ref="B63" si="491">D$2/D63</f>
        <v>58.809356725146188</v>
      </c>
      <c r="C63" s="5">
        <f t="shared" ref="C63" si="492">D62/D63</f>
        <v>0.99883040935672518</v>
      </c>
      <c r="D63" s="4">
        <f t="shared" ref="D63" si="493">SUM(F63:H63)</f>
        <v>8.5500000000000007</v>
      </c>
      <c r="E63" s="9">
        <v>0.4</v>
      </c>
      <c r="F63" s="9">
        <v>5.7</v>
      </c>
      <c r="G63" s="9">
        <v>2.61</v>
      </c>
      <c r="H63" s="9">
        <v>0.24</v>
      </c>
      <c r="I63" s="10">
        <v>2.02</v>
      </c>
      <c r="J63" s="20" t="s">
        <v>71</v>
      </c>
      <c r="K63" s="5">
        <f t="shared" ref="K63" si="494">M$2/M63</f>
        <v>68.377049180327845</v>
      </c>
      <c r="L63" s="5">
        <f t="shared" ref="L63" si="495">M62/M63</f>
        <v>1</v>
      </c>
      <c r="M63" s="4">
        <f t="shared" ref="M63" si="496">SUM(O63:Q63)</f>
        <v>0.6100000000000001</v>
      </c>
      <c r="N63" s="9">
        <v>7.0000000000000007E-2</v>
      </c>
      <c r="O63" s="9">
        <v>0.45</v>
      </c>
      <c r="P63" s="9">
        <v>0.14000000000000001</v>
      </c>
      <c r="Q63" s="9">
        <v>0.02</v>
      </c>
      <c r="R63" s="10">
        <v>0.14000000000000001</v>
      </c>
      <c r="S63" s="20" t="s">
        <v>71</v>
      </c>
      <c r="T63" s="5">
        <f t="shared" ref="T63" si="497">ROUND(B63/K63,3)</f>
        <v>0.86</v>
      </c>
      <c r="U63" s="5">
        <f t="shared" ref="U63" si="498">ROUND(C63/L63,3)</f>
        <v>0.999</v>
      </c>
      <c r="V63" s="4">
        <f t="shared" ref="V63" si="499">ROUND(D63/M63,3)</f>
        <v>14.016</v>
      </c>
      <c r="W63" s="9">
        <f t="shared" ref="W63" si="500">ROUND(E63/N63,3)</f>
        <v>5.7140000000000004</v>
      </c>
      <c r="X63" s="18">
        <f t="shared" ref="X63" si="501">ROUND(F63/O63,3)</f>
        <v>12.667</v>
      </c>
      <c r="Y63" s="9">
        <f t="shared" ref="Y63" si="502">ROUND(G63/P63,3)</f>
        <v>18.643000000000001</v>
      </c>
      <c r="Z63" s="18">
        <f t="shared" ref="Z63" si="503">ROUND(H63/Q63,3)</f>
        <v>12</v>
      </c>
      <c r="AA63" s="10">
        <f t="shared" ref="AA63" si="504">ROUND(I63/R63,3)</f>
        <v>14.429</v>
      </c>
    </row>
    <row r="64" spans="1:28" ht="14.25" customHeight="1" x14ac:dyDescent="0.2">
      <c r="A64" s="12" t="s">
        <v>73</v>
      </c>
      <c r="B64" s="2">
        <f t="shared" ref="B64" si="505">D$2/D64</f>
        <v>65.216601815823594</v>
      </c>
      <c r="C64" s="2">
        <f t="shared" ref="C64" si="506">D63/D64</f>
        <v>1.1089494163424125</v>
      </c>
      <c r="D64" s="6">
        <f t="shared" ref="D64" si="507">SUM(F64:H64)</f>
        <v>7.7100000000000009</v>
      </c>
      <c r="E64" s="9">
        <v>0.4</v>
      </c>
      <c r="F64" s="13">
        <v>4.87</v>
      </c>
      <c r="G64" s="9">
        <v>2.61</v>
      </c>
      <c r="H64" s="9">
        <v>0.23</v>
      </c>
      <c r="I64" s="10">
        <v>2.02</v>
      </c>
      <c r="J64" s="20" t="s">
        <v>72</v>
      </c>
      <c r="K64" s="2">
        <f t="shared" ref="K64" si="508">M$2/M64</f>
        <v>77.240740740740719</v>
      </c>
      <c r="L64" s="2">
        <f t="shared" ref="L64" si="509">M63/M64</f>
        <v>1.1296296296296298</v>
      </c>
      <c r="M64" s="6">
        <f t="shared" ref="M64" si="510">SUM(O64:Q64)</f>
        <v>0.54</v>
      </c>
      <c r="N64" s="9">
        <v>0.08</v>
      </c>
      <c r="O64" s="13">
        <v>0.38</v>
      </c>
      <c r="P64" s="9">
        <v>0.14000000000000001</v>
      </c>
      <c r="Q64" s="9">
        <v>0.02</v>
      </c>
      <c r="R64" s="10">
        <v>0.14000000000000001</v>
      </c>
      <c r="S64" s="20" t="s">
        <v>72</v>
      </c>
      <c r="T64" s="2">
        <f t="shared" ref="T64" si="511">ROUND(B64/K64,3)</f>
        <v>0.84399999999999997</v>
      </c>
      <c r="U64" s="2">
        <f t="shared" ref="U64" si="512">ROUND(C64/L64,3)</f>
        <v>0.98199999999999998</v>
      </c>
      <c r="V64" s="6">
        <f t="shared" ref="V64" si="513">ROUND(D64/M64,3)</f>
        <v>14.278</v>
      </c>
      <c r="W64" s="9">
        <f t="shared" ref="W64" si="514">ROUND(E64/N64,3)</f>
        <v>5</v>
      </c>
      <c r="X64" s="13">
        <f t="shared" ref="X64" si="515">ROUND(F64/O64,3)</f>
        <v>12.816000000000001</v>
      </c>
      <c r="Y64" s="9">
        <f t="shared" ref="Y64" si="516">ROUND(G64/P64,3)</f>
        <v>18.643000000000001</v>
      </c>
      <c r="Z64" s="9">
        <f t="shared" ref="Z64" si="517">ROUND(H64/Q64,3)</f>
        <v>11.5</v>
      </c>
      <c r="AA64" s="10">
        <f t="shared" ref="AA64" si="518">ROUND(I64/R64,3)</f>
        <v>14.429</v>
      </c>
    </row>
    <row r="65" spans="1:28" ht="14.25" customHeight="1" x14ac:dyDescent="0.2">
      <c r="A65" s="12" t="s">
        <v>74</v>
      </c>
      <c r="B65" s="2">
        <f t="shared" ref="B65" si="519">D$2/D65</f>
        <v>68.317934782608688</v>
      </c>
      <c r="C65" s="2">
        <f t="shared" ref="C65" si="520">D64/D65</f>
        <v>1.0475543478260869</v>
      </c>
      <c r="D65" s="6">
        <f t="shared" ref="D65" si="521">SUM(F65:H65)</f>
        <v>7.36</v>
      </c>
      <c r="E65" s="9">
        <v>0.42</v>
      </c>
      <c r="F65" s="13">
        <v>4.54</v>
      </c>
      <c r="G65" s="9">
        <v>2.6</v>
      </c>
      <c r="H65" s="9">
        <v>0.22</v>
      </c>
      <c r="I65" s="10">
        <v>2.0099999999999998</v>
      </c>
      <c r="J65" s="12" t="s">
        <v>74</v>
      </c>
      <c r="K65" s="2">
        <f t="shared" ref="K65" si="522">M$2/M65</f>
        <v>81.784313725490179</v>
      </c>
      <c r="L65" s="2">
        <f t="shared" ref="L65" si="523">M64/M65</f>
        <v>1.0588235294117647</v>
      </c>
      <c r="M65" s="6">
        <f t="shared" ref="M65" si="524">SUM(O65:Q65)</f>
        <v>0.51</v>
      </c>
      <c r="N65" s="9">
        <v>0.1</v>
      </c>
      <c r="O65" s="13">
        <v>0.35</v>
      </c>
      <c r="P65" s="9">
        <v>0.14000000000000001</v>
      </c>
      <c r="Q65" s="9">
        <v>0.02</v>
      </c>
      <c r="R65" s="10">
        <v>0.14000000000000001</v>
      </c>
      <c r="S65" s="12" t="s">
        <v>74</v>
      </c>
      <c r="T65" s="2">
        <f t="shared" ref="T65" si="525">ROUND(B65/K65,3)</f>
        <v>0.83499999999999996</v>
      </c>
      <c r="U65" s="2">
        <f t="shared" ref="U65" si="526">ROUND(C65/L65,3)</f>
        <v>0.98899999999999999</v>
      </c>
      <c r="V65" s="6">
        <f t="shared" ref="V65" si="527">ROUND(D65/M65,3)</f>
        <v>14.430999999999999</v>
      </c>
      <c r="W65" s="9">
        <f t="shared" ref="W65" si="528">ROUND(E65/N65,3)</f>
        <v>4.2</v>
      </c>
      <c r="X65" s="13">
        <f t="shared" ref="X65" si="529">ROUND(F65/O65,3)</f>
        <v>12.971</v>
      </c>
      <c r="Y65" s="9">
        <f t="shared" ref="Y65" si="530">ROUND(G65/P65,3)</f>
        <v>18.571000000000002</v>
      </c>
      <c r="Z65" s="9">
        <f t="shared" ref="Z65" si="531">ROUND(H65/Q65,3)</f>
        <v>11</v>
      </c>
      <c r="AA65" s="10">
        <f t="shared" ref="AA65" si="532">ROUND(I65/R65,3)</f>
        <v>14.356999999999999</v>
      </c>
    </row>
    <row r="66" spans="1:28" ht="14.25" customHeight="1" x14ac:dyDescent="0.2">
      <c r="A66" s="12" t="s">
        <v>75</v>
      </c>
      <c r="B66" s="2">
        <f t="shared" ref="B66" si="533">D$2/D66</f>
        <v>82.700657894736835</v>
      </c>
      <c r="C66" s="2">
        <f t="shared" ref="C66" si="534">D65/D66</f>
        <v>1.2105263157894737</v>
      </c>
      <c r="D66" s="6">
        <f t="shared" ref="D66" si="535">SUM(F66:H66)</f>
        <v>6.08</v>
      </c>
      <c r="E66" s="9">
        <v>0.39</v>
      </c>
      <c r="F66" s="13">
        <v>3.23</v>
      </c>
      <c r="G66" s="9">
        <v>2.62</v>
      </c>
      <c r="H66" s="9">
        <v>0.23</v>
      </c>
      <c r="I66" s="10">
        <v>2.0299999999999998</v>
      </c>
      <c r="J66" s="12" t="s">
        <v>75</v>
      </c>
      <c r="K66" s="2">
        <f t="shared" ref="K66" si="536">M$2/M66</f>
        <v>88.744680851063805</v>
      </c>
      <c r="L66" s="2">
        <f t="shared" ref="L66" si="537">M65/M66</f>
        <v>1.0851063829787233</v>
      </c>
      <c r="M66" s="6">
        <f t="shared" ref="M66" si="538">SUM(O66:Q66)</f>
        <v>0.47000000000000003</v>
      </c>
      <c r="N66" s="9">
        <v>0.06</v>
      </c>
      <c r="O66" s="13">
        <v>0.31</v>
      </c>
      <c r="P66" s="9">
        <v>0.14000000000000001</v>
      </c>
      <c r="Q66" s="9">
        <v>0.02</v>
      </c>
      <c r="R66" s="10">
        <v>0.13</v>
      </c>
      <c r="S66" s="12" t="s">
        <v>75</v>
      </c>
      <c r="T66" s="2">
        <f t="shared" ref="T66" si="539">ROUND(B66/K66,3)</f>
        <v>0.93200000000000005</v>
      </c>
      <c r="U66" s="2">
        <f t="shared" ref="U66" si="540">ROUND(C66/L66,3)</f>
        <v>1.1160000000000001</v>
      </c>
      <c r="V66" s="6">
        <f t="shared" ref="V66" si="541">ROUND(D66/M66,3)</f>
        <v>12.936</v>
      </c>
      <c r="W66" s="9">
        <f t="shared" ref="W66" si="542">ROUND(E66/N66,3)</f>
        <v>6.5</v>
      </c>
      <c r="X66" s="13">
        <f t="shared" ref="X66" si="543">ROUND(F66/O66,3)</f>
        <v>10.419</v>
      </c>
      <c r="Y66" s="9">
        <f t="shared" ref="Y66" si="544">ROUND(G66/P66,3)</f>
        <v>18.713999999999999</v>
      </c>
      <c r="Z66" s="9">
        <f t="shared" ref="Z66" si="545">ROUND(H66/Q66,3)</f>
        <v>11.5</v>
      </c>
      <c r="AA66" s="10">
        <f t="shared" ref="AA66" si="546">ROUND(I66/R66,3)</f>
        <v>15.615</v>
      </c>
    </row>
    <row r="67" spans="1:28" ht="14.25" customHeight="1" x14ac:dyDescent="0.2">
      <c r="A67" s="12" t="s">
        <v>76</v>
      </c>
      <c r="B67" s="2">
        <f t="shared" ref="B67" si="547">D$2/D67</f>
        <v>104.97286012526092</v>
      </c>
      <c r="C67" s="2">
        <f t="shared" ref="C67" si="548">D66/D67</f>
        <v>1.2693110647181627</v>
      </c>
      <c r="D67" s="6">
        <f t="shared" ref="D67" si="549">SUM(F67:H67)</f>
        <v>4.7900000000000009</v>
      </c>
      <c r="E67" s="9">
        <v>0.43</v>
      </c>
      <c r="F67" s="9">
        <v>3.21</v>
      </c>
      <c r="G67" s="13">
        <v>1.35</v>
      </c>
      <c r="H67" s="9">
        <v>0.23</v>
      </c>
      <c r="I67" s="14">
        <v>0.44</v>
      </c>
      <c r="J67" s="12" t="s">
        <v>76</v>
      </c>
      <c r="K67" s="2">
        <f t="shared" ref="K67" si="550">M$2/M67</f>
        <v>90.673913043478237</v>
      </c>
      <c r="L67" s="2">
        <f t="shared" ref="L67" si="551">M66/M67</f>
        <v>1.0217391304347827</v>
      </c>
      <c r="M67" s="6">
        <f t="shared" ref="M67" si="552">SUM(O67:Q67)</f>
        <v>0.46</v>
      </c>
      <c r="N67" s="9">
        <v>7.0000000000000007E-2</v>
      </c>
      <c r="O67" s="9">
        <v>0.31</v>
      </c>
      <c r="P67" s="13">
        <v>0.13</v>
      </c>
      <c r="Q67" s="9">
        <v>0.02</v>
      </c>
      <c r="R67" s="14">
        <v>7.0000000000000007E-2</v>
      </c>
      <c r="S67" s="12" t="s">
        <v>76</v>
      </c>
      <c r="T67" s="2">
        <f t="shared" ref="T67" si="553">ROUND(B67/K67,3)</f>
        <v>1.1579999999999999</v>
      </c>
      <c r="U67" s="2">
        <f t="shared" ref="U67" si="554">ROUND(C67/L67,3)</f>
        <v>1.242</v>
      </c>
      <c r="V67" s="6">
        <f t="shared" ref="V67" si="555">ROUND(D67/M67,3)</f>
        <v>10.413</v>
      </c>
      <c r="W67" s="9">
        <f t="shared" ref="W67" si="556">ROUND(E67/N67,3)</f>
        <v>6.1429999999999998</v>
      </c>
      <c r="X67" s="18">
        <f t="shared" ref="X67" si="557">ROUND(F67/O67,3)</f>
        <v>10.355</v>
      </c>
      <c r="Y67" s="13">
        <f t="shared" ref="Y67" si="558">ROUND(G67/P67,3)</f>
        <v>10.385</v>
      </c>
      <c r="Z67" s="9">
        <f t="shared" ref="Z67" si="559">ROUND(H67/Q67,3)</f>
        <v>11.5</v>
      </c>
      <c r="AA67" s="14">
        <f t="shared" ref="AA67" si="560">ROUND(I67/R67,3)</f>
        <v>6.2859999999999996</v>
      </c>
    </row>
    <row r="68" spans="1:28" s="18" customFormat="1" ht="14.25" customHeight="1" x14ac:dyDescent="0.2">
      <c r="A68" s="20" t="s">
        <v>77</v>
      </c>
      <c r="B68" s="5">
        <f t="shared" ref="B68" si="561">D$2/D68</f>
        <v>106.08016877637131</v>
      </c>
      <c r="C68" s="5">
        <f t="shared" ref="C68" si="562">D67/D68</f>
        <v>1.0105485232067515</v>
      </c>
      <c r="D68" s="4">
        <f t="shared" ref="D68" si="563">SUM(F68:H68)</f>
        <v>4.7399999999999993</v>
      </c>
      <c r="E68" s="18">
        <v>0.4</v>
      </c>
      <c r="F68" s="18">
        <v>3.19</v>
      </c>
      <c r="G68" s="18">
        <v>1.33</v>
      </c>
      <c r="H68" s="13">
        <v>0.22</v>
      </c>
      <c r="I68" s="19">
        <v>0.43</v>
      </c>
      <c r="J68" s="20" t="s">
        <v>77</v>
      </c>
      <c r="K68" s="5">
        <f t="shared" ref="K68" si="564">M$2/M68</f>
        <v>92.688888888888869</v>
      </c>
      <c r="L68" s="5">
        <f t="shared" ref="L68" si="565">M67/M68</f>
        <v>1.0222222222222221</v>
      </c>
      <c r="M68" s="4">
        <f t="shared" ref="M68" si="566">SUM(O68:Q68)</f>
        <v>0.45</v>
      </c>
      <c r="N68" s="18">
        <v>0.09</v>
      </c>
      <c r="O68" s="18">
        <v>0.3</v>
      </c>
      <c r="P68" s="18">
        <v>0.13</v>
      </c>
      <c r="Q68" s="13">
        <v>0.02</v>
      </c>
      <c r="R68" s="19">
        <v>7.0000000000000007E-2</v>
      </c>
      <c r="S68" s="20" t="s">
        <v>77</v>
      </c>
      <c r="T68" s="5">
        <f t="shared" ref="T68" si="567">ROUND(B68/K68,3)</f>
        <v>1.1439999999999999</v>
      </c>
      <c r="U68" s="5">
        <f t="shared" ref="U68" si="568">ROUND(C68/L68,3)</f>
        <v>0.98899999999999999</v>
      </c>
      <c r="V68" s="4">
        <f t="shared" ref="V68" si="569">ROUND(D68/M68,3)</f>
        <v>10.532999999999999</v>
      </c>
      <c r="W68" s="18">
        <f t="shared" ref="W68" si="570">ROUND(E68/N68,3)</f>
        <v>4.444</v>
      </c>
      <c r="X68" s="18">
        <f t="shared" ref="X68" si="571">ROUND(F68/O68,3)</f>
        <v>10.632999999999999</v>
      </c>
      <c r="Y68" s="18">
        <f t="shared" ref="Y68" si="572">ROUND(G68/P68,3)</f>
        <v>10.231</v>
      </c>
      <c r="Z68" s="13">
        <f t="shared" ref="Z68" si="573">ROUND(H68/Q68,3)</f>
        <v>11</v>
      </c>
      <c r="AA68" s="19">
        <f t="shared" ref="AA68" si="574">ROUND(I68/R68,3)</f>
        <v>6.1429999999999998</v>
      </c>
      <c r="AB68" s="20"/>
    </row>
    <row r="69" spans="1:28" ht="14.25" customHeight="1" x14ac:dyDescent="0.2">
      <c r="A69" s="20" t="s">
        <v>78</v>
      </c>
      <c r="B69" s="2">
        <f t="shared" ref="B69" si="575">D$2/D69</f>
        <v>105.19246861924684</v>
      </c>
      <c r="C69" s="2">
        <f t="shared" ref="C69" si="576">D68/D69</f>
        <v>0.99163179916317967</v>
      </c>
      <c r="D69" s="6">
        <f t="shared" ref="D69" si="577">SUM(F69:H69)</f>
        <v>4.78</v>
      </c>
      <c r="E69" s="9">
        <v>0.44</v>
      </c>
      <c r="F69" s="13">
        <v>3.22</v>
      </c>
      <c r="G69" s="13">
        <v>1.34</v>
      </c>
      <c r="H69" s="9">
        <v>0.22</v>
      </c>
      <c r="I69" s="14">
        <v>0.44</v>
      </c>
      <c r="J69" s="20" t="s">
        <v>78</v>
      </c>
      <c r="K69" s="2">
        <f t="shared" ref="K69" si="578">M$2/M69</f>
        <v>115.8611111111111</v>
      </c>
      <c r="L69" s="2">
        <f t="shared" ref="L69" si="579">M68/M69</f>
        <v>1.25</v>
      </c>
      <c r="M69" s="6">
        <f t="shared" ref="M69" si="580">SUM(O69:Q69)</f>
        <v>0.36</v>
      </c>
      <c r="N69" s="9">
        <v>0.06</v>
      </c>
      <c r="O69" s="13">
        <v>0.25</v>
      </c>
      <c r="P69" s="13">
        <v>0.09</v>
      </c>
      <c r="Q69" s="9">
        <v>0.02</v>
      </c>
      <c r="R69" s="14">
        <v>0.05</v>
      </c>
      <c r="S69" s="20" t="s">
        <v>78</v>
      </c>
      <c r="T69" s="2">
        <f t="shared" ref="T69" si="581">ROUND(B69/K69,3)</f>
        <v>0.90800000000000003</v>
      </c>
      <c r="U69" s="2">
        <f t="shared" ref="U69" si="582">ROUND(C69/L69,3)</f>
        <v>0.79300000000000004</v>
      </c>
      <c r="V69" s="6">
        <f t="shared" ref="V69" si="583">ROUND(D69/M69,3)</f>
        <v>13.278</v>
      </c>
      <c r="W69" s="9">
        <f t="shared" ref="W69" si="584">ROUND(E69/N69,3)</f>
        <v>7.3330000000000002</v>
      </c>
      <c r="X69" s="13">
        <f t="shared" ref="X69" si="585">ROUND(F69/O69,3)</f>
        <v>12.88</v>
      </c>
      <c r="Y69" s="13">
        <f t="shared" ref="Y69" si="586">ROUND(G69/P69,3)</f>
        <v>14.888999999999999</v>
      </c>
      <c r="Z69" s="9">
        <f t="shared" ref="Z69" si="587">ROUND(H69/Q69,3)</f>
        <v>11</v>
      </c>
      <c r="AA69" s="14">
        <f t="shared" ref="AA69" si="588">ROUND(I69/R69,3)</f>
        <v>8.8000000000000007</v>
      </c>
    </row>
    <row r="70" spans="1:28" s="18" customFormat="1" ht="14.25" customHeight="1" x14ac:dyDescent="0.2">
      <c r="A70" s="20" t="s">
        <v>79</v>
      </c>
      <c r="B70" s="5">
        <f t="shared" ref="B70" si="589">D$2/D70</f>
        <v>105.19246861924684</v>
      </c>
      <c r="C70" s="5">
        <f t="shared" ref="C70" si="590">D69/D70</f>
        <v>1</v>
      </c>
      <c r="D70" s="4">
        <f t="shared" ref="D70" si="591">SUM(F70:H70)</f>
        <v>4.78</v>
      </c>
      <c r="E70" s="18">
        <v>0.4</v>
      </c>
      <c r="F70" s="18">
        <v>3.23</v>
      </c>
      <c r="G70" s="18">
        <v>1.34</v>
      </c>
      <c r="H70" s="18">
        <v>0.21</v>
      </c>
      <c r="I70" s="19">
        <v>0.44</v>
      </c>
      <c r="J70" s="20" t="s">
        <v>79</v>
      </c>
      <c r="K70" s="5">
        <f t="shared" ref="K70" si="592">M$2/M70</f>
        <v>119.17142857142856</v>
      </c>
      <c r="L70" s="5">
        <f t="shared" ref="L70" si="593">M69/M70</f>
        <v>1.0285714285714287</v>
      </c>
      <c r="M70" s="4">
        <f t="shared" ref="M70" si="594">SUM(O70:Q70)</f>
        <v>0.35</v>
      </c>
      <c r="N70" s="18">
        <v>0.06</v>
      </c>
      <c r="O70" s="18">
        <v>0.24</v>
      </c>
      <c r="P70" s="18">
        <v>0.09</v>
      </c>
      <c r="Q70" s="18">
        <v>0.02</v>
      </c>
      <c r="R70" s="19">
        <v>0.05</v>
      </c>
      <c r="S70" s="20" t="s">
        <v>79</v>
      </c>
      <c r="T70" s="5">
        <f t="shared" ref="T70" si="595">ROUND(B70/K70,3)</f>
        <v>0.88300000000000001</v>
      </c>
      <c r="U70" s="5">
        <f t="shared" ref="U70" si="596">ROUND(C70/L70,3)</f>
        <v>0.97199999999999998</v>
      </c>
      <c r="V70" s="4">
        <f t="shared" ref="V70" si="597">ROUND(D70/M70,3)</f>
        <v>13.657</v>
      </c>
      <c r="W70" s="18">
        <f t="shared" ref="W70" si="598">ROUND(E70/N70,3)</f>
        <v>6.6669999999999998</v>
      </c>
      <c r="X70" s="18">
        <f t="shared" ref="X70" si="599">ROUND(F70/O70,3)</f>
        <v>13.458</v>
      </c>
      <c r="Y70" s="18">
        <f t="shared" ref="Y70" si="600">ROUND(G70/P70,3)</f>
        <v>14.888999999999999</v>
      </c>
      <c r="Z70" s="18">
        <f t="shared" ref="Z70" si="601">ROUND(H70/Q70,3)</f>
        <v>10.5</v>
      </c>
      <c r="AA70" s="19">
        <f t="shared" ref="AA70" si="602">ROUND(I70/R70,3)</f>
        <v>8.8000000000000007</v>
      </c>
      <c r="AB70" s="20"/>
    </row>
    <row r="71" spans="1:28" ht="14.25" customHeight="1" x14ac:dyDescent="0.2">
      <c r="A71" s="20" t="s">
        <v>80</v>
      </c>
      <c r="B71" s="2">
        <f t="shared" ref="B71" si="603">D$2/D71</f>
        <v>116.39351851851849</v>
      </c>
      <c r="C71" s="2">
        <f t="shared" ref="C71" si="604">D70/D71</f>
        <v>1.1064814814814814</v>
      </c>
      <c r="D71" s="6">
        <f t="shared" ref="D71" si="605">SUM(F71:H71)</f>
        <v>4.32</v>
      </c>
      <c r="E71" s="9">
        <v>0.4</v>
      </c>
      <c r="F71" s="13">
        <v>2.77</v>
      </c>
      <c r="G71" s="9">
        <v>1.34</v>
      </c>
      <c r="H71" s="9">
        <v>0.21</v>
      </c>
      <c r="I71" s="10">
        <v>0.44</v>
      </c>
      <c r="J71" s="20" t="s">
        <v>80</v>
      </c>
      <c r="K71" s="2">
        <f t="shared" ref="K71" si="606">M$2/M71</f>
        <v>126.39393939393936</v>
      </c>
      <c r="L71" s="2">
        <f t="shared" ref="L71" si="607">M70/M71</f>
        <v>1.0606060606060606</v>
      </c>
      <c r="M71" s="6">
        <f t="shared" ref="M71" si="608">SUM(O71:Q71)</f>
        <v>0.33</v>
      </c>
      <c r="N71" s="9">
        <v>0.08</v>
      </c>
      <c r="O71" s="13">
        <v>0.22</v>
      </c>
      <c r="P71" s="9">
        <v>0.09</v>
      </c>
      <c r="Q71" s="9">
        <v>0.02</v>
      </c>
      <c r="R71" s="10">
        <v>0.05</v>
      </c>
      <c r="S71" s="20" t="s">
        <v>80</v>
      </c>
      <c r="T71" s="2">
        <f t="shared" ref="T71" si="609">ROUND(B71/K71,3)</f>
        <v>0.92100000000000004</v>
      </c>
      <c r="U71" s="2">
        <f t="shared" ref="U71" si="610">ROUND(C71/L71,3)</f>
        <v>1.0429999999999999</v>
      </c>
      <c r="V71" s="6">
        <f t="shared" ref="V71" si="611">ROUND(D71/M71,3)</f>
        <v>13.090999999999999</v>
      </c>
      <c r="W71" s="9">
        <f t="shared" ref="W71" si="612">ROUND(E71/N71,3)</f>
        <v>5</v>
      </c>
      <c r="X71" s="13">
        <f t="shared" ref="X71" si="613">ROUND(F71/O71,3)</f>
        <v>12.590999999999999</v>
      </c>
      <c r="Y71" s="9">
        <f t="shared" ref="Y71" si="614">ROUND(G71/P71,3)</f>
        <v>14.888999999999999</v>
      </c>
      <c r="Z71" s="9">
        <f t="shared" ref="Z71" si="615">ROUND(H71/Q71,3)</f>
        <v>10.5</v>
      </c>
      <c r="AA71" s="10">
        <f t="shared" ref="AA71" si="616">ROUND(I71/R71,3)</f>
        <v>8.8000000000000007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2026-09-26T11:53:04Z</dcterms:modified>
</cp:coreProperties>
</file>