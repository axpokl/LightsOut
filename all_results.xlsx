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B19BFB4-87B8-41E6-BCBF-BC3F595E7454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7" i="2" l="1"/>
  <c r="Z67" i="2"/>
  <c r="Y67" i="2"/>
  <c r="X67" i="2"/>
  <c r="W67" i="2"/>
  <c r="V67" i="2"/>
  <c r="U67" i="2"/>
  <c r="T67" i="2"/>
  <c r="M67" i="2"/>
  <c r="L67" i="2" s="1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L64" i="2" s="1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67" i="2" l="1"/>
  <c r="C67" i="2"/>
  <c r="B67" i="2"/>
  <c r="C66" i="2"/>
  <c r="L66" i="2"/>
  <c r="U66" i="2"/>
  <c r="V66" i="2"/>
  <c r="K66" i="2"/>
  <c r="B66" i="2"/>
  <c r="C65" i="2"/>
  <c r="L65" i="2"/>
  <c r="U65" i="2" s="1"/>
  <c r="V65" i="2"/>
  <c r="K65" i="2"/>
  <c r="B65" i="2"/>
  <c r="V64" i="2"/>
  <c r="C64" i="2"/>
  <c r="U64" i="2" s="1"/>
  <c r="B64" i="2"/>
  <c r="T64" i="2" s="1"/>
  <c r="L63" i="2"/>
  <c r="C62" i="2"/>
  <c r="C63" i="2"/>
  <c r="U63" i="2" s="1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62" i="2" l="1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<sst xmlns="http://schemas.openxmlformats.org/spreadsheetml/2006/main" count="225" uniqueCount="77">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</sst>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7"/>
  <sheetViews>
    <sheetView tabSelected="1" topLeftCell="D59" workbookViewId="0">
      <selection activeCell="AA67" sqref="AA67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33.387782204515268</v>
      </c>
      <c r="C54" s="5">
        <f t="shared" ref="C54" si="386">D53/D54</f>
        <v>1.0046480743691899</v>
      </c>
      <c r="D54" s="4">
        <f t="shared" ref="D54" si="387">SUM(F54:H54)</f>
        <v>15.06</v>
      </c>
      <c r="E54" s="13">
        <v>0.42</v>
      </c>
      <c r="F54" s="9">
        <v>7.59</v>
      </c>
      <c r="G54" s="9">
        <v>6.82</v>
      </c>
      <c r="H54" s="9">
        <v>0.65</v>
      </c>
      <c r="I54" s="10">
        <v>4.7699999999999996</v>
      </c>
      <c r="J54" s="12" t="s">
        <v>62</v>
      </c>
      <c r="K54" s="5">
        <f t="shared" ref="K54" si="388">M$2/M54</f>
        <v>63.196969696969681</v>
      </c>
      <c r="L54" s="5">
        <f t="shared" ref="L54" si="389">M53/M54</f>
        <v>0.98484848484848486</v>
      </c>
      <c r="M54" s="4">
        <f t="shared" ref="M54" si="390">SUM(O54:Q54)</f>
        <v>0.66</v>
      </c>
      <c r="N54" s="13">
        <v>7.0000000000000007E-2</v>
      </c>
      <c r="O54" s="9">
        <v>0.48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0.52800000000000002</v>
      </c>
      <c r="U54" s="5">
        <f t="shared" ref="U54" si="392">ROUND(C54/L54,3)</f>
        <v>1.02</v>
      </c>
      <c r="V54" s="4">
        <f t="shared" ref="V54" si="393">ROUND(D54/M54,3)</f>
        <v>22.818000000000001</v>
      </c>
      <c r="W54" s="13">
        <f t="shared" ref="W54" si="394">ROUND(E54/N54,3)</f>
        <v>6</v>
      </c>
      <c r="X54" s="9">
        <f t="shared" ref="X54" si="395">ROUND(F54/O54,3)</f>
        <v>15.813000000000001</v>
      </c>
      <c r="Y54" s="9">
        <f t="shared" ref="Y54" si="396">ROUND(G54/P54,3)</f>
        <v>45.466999999999999</v>
      </c>
      <c r="Z54" s="9">
        <f t="shared" ref="Z54" si="397">ROUND(H54/Q54,3)</f>
        <v>21.667000000000002</v>
      </c>
      <c r="AA54" s="10">
        <f t="shared" ref="AA54" si="398">ROUND(I54/R54,3)</f>
        <v>31.8</v>
      </c>
    </row>
    <row r="55" spans="1:28" ht="14.25" customHeight="1" x14ac:dyDescent="0.2">
      <c r="A55" s="12" t="s">
        <v>63</v>
      </c>
      <c r="B55" s="2">
        <f t="shared" ref="B55:B56" si="399">D$2/D55</f>
        <v>46.342857142857142</v>
      </c>
      <c r="C55" s="2">
        <f t="shared" ref="C55:C56" si="400">D54/D55</f>
        <v>1.3880184331797236</v>
      </c>
      <c r="D55" s="6">
        <f t="shared" ref="D55:D56" si="401">SUM(F55:H55)</f>
        <v>10.85</v>
      </c>
      <c r="E55" s="9">
        <v>0.4</v>
      </c>
      <c r="F55" s="9">
        <v>7.3</v>
      </c>
      <c r="G55" s="13">
        <v>3.3</v>
      </c>
      <c r="H55" s="13">
        <v>0.25</v>
      </c>
      <c r="I55" s="14">
        <v>2.76</v>
      </c>
      <c r="J55" s="12" t="s">
        <v>63</v>
      </c>
      <c r="K55" s="2">
        <f t="shared" ref="K55:K56" si="402">M$2/M55</f>
        <v>62.253731343283569</v>
      </c>
      <c r="L55" s="2">
        <f t="shared" ref="L55:L56" si="403">M54/M55</f>
        <v>0.9850746268656716</v>
      </c>
      <c r="M55" s="6">
        <f t="shared" ref="M55:M56" si="404">SUM(O55:Q55)</f>
        <v>0.67</v>
      </c>
      <c r="N55" s="9">
        <v>7.0000000000000007E-2</v>
      </c>
      <c r="O55" s="9">
        <v>0.48</v>
      </c>
      <c r="P55" s="13">
        <v>0.16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0.74399999999999999</v>
      </c>
      <c r="U55" s="2">
        <f t="shared" ref="U55" si="406">ROUND(C55/L55,3)</f>
        <v>1.409</v>
      </c>
      <c r="V55" s="6">
        <f t="shared" ref="V55" si="407">ROUND(D55/M55,3)</f>
        <v>16.193999999999999</v>
      </c>
      <c r="W55" s="9">
        <f t="shared" ref="W55" si="408">ROUND(E55/N55,3)</f>
        <v>5.7140000000000004</v>
      </c>
      <c r="X55" s="9">
        <f t="shared" ref="X55" si="409">ROUND(F55/O55,3)</f>
        <v>15.208</v>
      </c>
      <c r="Y55" s="13">
        <f t="shared" ref="Y55" si="410">ROUND(G55/P55,3)</f>
        <v>20.625</v>
      </c>
      <c r="Z55" s="13">
        <f t="shared" ref="Z55" si="411">ROUND(H55/Q55,3)</f>
        <v>8.3330000000000002</v>
      </c>
      <c r="AA55" s="14">
        <f t="shared" ref="AA55" si="412">ROUND(I55/R55,3)</f>
        <v>18.399999999999999</v>
      </c>
    </row>
    <row r="56" spans="1:28" s="18" customFormat="1" ht="14.25" customHeight="1" x14ac:dyDescent="0.2">
      <c r="A56" s="20" t="s">
        <v>64</v>
      </c>
      <c r="B56" s="5">
        <f t="shared" si="399"/>
        <v>45.961608775137101</v>
      </c>
      <c r="C56" s="5">
        <f t="shared" si="400"/>
        <v>0.99177330895795235</v>
      </c>
      <c r="D56" s="4">
        <f t="shared" si="401"/>
        <v>10.940000000000001</v>
      </c>
      <c r="E56" s="13">
        <v>0.41</v>
      </c>
      <c r="F56" s="18">
        <v>7.4</v>
      </c>
      <c r="G56" s="18">
        <v>3.31</v>
      </c>
      <c r="H56" s="13">
        <v>0.23</v>
      </c>
      <c r="I56" s="19">
        <v>2.76</v>
      </c>
      <c r="J56" s="20" t="s">
        <v>64</v>
      </c>
      <c r="K56" s="5">
        <f t="shared" si="402"/>
        <v>65.171874999999986</v>
      </c>
      <c r="L56" s="5">
        <f t="shared" si="403"/>
        <v>1.046875</v>
      </c>
      <c r="M56" s="4">
        <f t="shared" si="404"/>
        <v>0.64</v>
      </c>
      <c r="N56" s="13">
        <v>0.06</v>
      </c>
      <c r="O56" s="18">
        <v>0.47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0.70499999999999996</v>
      </c>
      <c r="U56" s="5">
        <f t="shared" ref="U56" si="414">ROUND(C56/L56,3)</f>
        <v>0.94699999999999995</v>
      </c>
      <c r="V56" s="4">
        <f t="shared" ref="V56" si="415">ROUND(D56/M56,3)</f>
        <v>17.094000000000001</v>
      </c>
      <c r="W56" s="13">
        <f t="shared" ref="W56" si="416">ROUND(E56/N56,3)</f>
        <v>6.8330000000000002</v>
      </c>
      <c r="X56" s="18">
        <f t="shared" ref="X56" si="417">ROUND(F56/O56,3)</f>
        <v>15.744999999999999</v>
      </c>
      <c r="Y56" s="18">
        <f t="shared" ref="Y56" si="418">ROUND(G56/P56,3)</f>
        <v>22.067</v>
      </c>
      <c r="Z56" s="13">
        <f t="shared" ref="Z56" si="419">ROUND(H56/Q56,3)</f>
        <v>11.5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49.58777120315581</v>
      </c>
      <c r="C57" s="2">
        <f t="shared" ref="C57:C58" si="422">D56/D57</f>
        <v>1.0788954635108481</v>
      </c>
      <c r="D57" s="6">
        <f t="shared" ref="D57:D58" si="423">SUM(F57:H57)</f>
        <v>10.14</v>
      </c>
      <c r="E57" s="9">
        <v>0.41</v>
      </c>
      <c r="F57" s="13">
        <v>6.69</v>
      </c>
      <c r="G57" s="13">
        <v>3.2</v>
      </c>
      <c r="H57" s="13">
        <v>0.25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0.98461538461538456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0.15</v>
      </c>
      <c r="S57" s="12" t="s">
        <v>65</v>
      </c>
      <c r="T57" s="2">
        <f t="shared" ref="T57:T58" si="427">ROUND(B57/K57,3)</f>
        <v>0.77300000000000002</v>
      </c>
      <c r="U57" s="2">
        <f t="shared" ref="U57:U58" si="428">ROUND(C57/L57,3)</f>
        <v>1.0960000000000001</v>
      </c>
      <c r="V57" s="6">
        <f t="shared" ref="V57:V58" si="429">ROUND(D57/M57,3)</f>
        <v>15.6</v>
      </c>
      <c r="W57" s="9">
        <f t="shared" ref="W57:W58" si="430">ROUND(E57/N57,3)</f>
        <v>6.8330000000000002</v>
      </c>
      <c r="X57" s="13">
        <f t="shared" ref="X57:X58" si="431">ROUND(F57/O57,3)</f>
        <v>13.938000000000001</v>
      </c>
      <c r="Y57" s="13">
        <f t="shared" ref="Y57:Y58" si="432">ROUND(G57/P57,3)</f>
        <v>21.332999999999998</v>
      </c>
      <c r="Z57" s="13">
        <f t="shared" ref="Z57:Z58" si="433">ROUND(H57/Q57,3)</f>
        <v>12.5</v>
      </c>
      <c r="AA57" s="14">
        <f t="shared" ref="AA57:AA58" si="434">ROUND(I57/R57,3)</f>
        <v>17.466999999999999</v>
      </c>
    </row>
    <row r="58" spans="1:28" ht="14.25" customHeight="1" x14ac:dyDescent="0.2">
      <c r="A58" s="12" t="s">
        <v>66</v>
      </c>
      <c r="B58" s="2">
        <f t="shared" si="421"/>
        <v>51.151576805696841</v>
      </c>
      <c r="C58" s="2">
        <f t="shared" si="422"/>
        <v>1.0315361139369279</v>
      </c>
      <c r="D58" s="6">
        <f t="shared" si="423"/>
        <v>9.83</v>
      </c>
      <c r="E58" s="9">
        <v>0.39</v>
      </c>
      <c r="F58" s="13">
        <v>6.56</v>
      </c>
      <c r="G58" s="13">
        <v>3.04</v>
      </c>
      <c r="H58" s="9">
        <v>0.23</v>
      </c>
      <c r="I58" s="14">
        <v>2.4700000000000002</v>
      </c>
      <c r="J58" s="12" t="s">
        <v>66</v>
      </c>
      <c r="K58" s="2">
        <f t="shared" si="424"/>
        <v>65.171874999999986</v>
      </c>
      <c r="L58" s="2">
        <f t="shared" si="425"/>
        <v>1.015625</v>
      </c>
      <c r="M58" s="6">
        <f t="shared" si="426"/>
        <v>0.64</v>
      </c>
      <c r="N58" s="9">
        <v>7.0000000000000007E-2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0.78500000000000003</v>
      </c>
      <c r="U58" s="2">
        <f t="shared" si="428"/>
        <v>1.016</v>
      </c>
      <c r="V58" s="6">
        <f t="shared" si="429"/>
        <v>15.359</v>
      </c>
      <c r="W58" s="9">
        <f t="shared" si="430"/>
        <v>5.5709999999999997</v>
      </c>
      <c r="X58" s="13">
        <f t="shared" si="431"/>
        <v>13.957000000000001</v>
      </c>
      <c r="Y58" s="13">
        <f t="shared" si="432"/>
        <v>20.266999999999999</v>
      </c>
      <c r="Z58" s="9">
        <f t="shared" si="433"/>
        <v>11.5</v>
      </c>
      <c r="AA58" s="14">
        <f t="shared" si="434"/>
        <v>17.643000000000001</v>
      </c>
    </row>
    <row r="59" spans="1:28" ht="14.25" customHeight="1" x14ac:dyDescent="0.2">
      <c r="A59" s="12" t="s">
        <v>67</v>
      </c>
      <c r="B59" s="2">
        <f t="shared" ref="B59" si="435">D$2/D59</f>
        <v>55.133771929824547</v>
      </c>
      <c r="C59" s="2">
        <f t="shared" ref="C59" si="436">D58/D59</f>
        <v>1.0778508771929824</v>
      </c>
      <c r="D59" s="6">
        <f t="shared" ref="D59" si="437">SUM(F59:H59)</f>
        <v>9.120000000000001</v>
      </c>
      <c r="E59" s="9">
        <v>0.39</v>
      </c>
      <c r="F59" s="13">
        <v>6.22</v>
      </c>
      <c r="G59" s="13">
        <v>2.67</v>
      </c>
      <c r="H59" s="9">
        <v>0.23</v>
      </c>
      <c r="I59" s="14">
        <v>2.09</v>
      </c>
      <c r="J59" s="12" t="s">
        <v>67</v>
      </c>
      <c r="K59" s="2">
        <f t="shared" ref="K59" si="438">M$2/M59</f>
        <v>67.274193548387075</v>
      </c>
      <c r="L59" s="2">
        <f t="shared" ref="L59" si="439">M58/M59</f>
        <v>1.0322580645161288</v>
      </c>
      <c r="M59" s="6">
        <f t="shared" ref="M59" si="440">SUM(O59:Q59)</f>
        <v>0.62000000000000011</v>
      </c>
      <c r="N59" s="9">
        <v>0.06</v>
      </c>
      <c r="O59" s="13">
        <v>0.46</v>
      </c>
      <c r="P59" s="13">
        <v>0.14000000000000001</v>
      </c>
      <c r="Q59" s="9">
        <v>0.02</v>
      </c>
      <c r="R59" s="14">
        <v>0.13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1.044</v>
      </c>
      <c r="V59" s="6">
        <f t="shared" ref="V59" si="443">ROUND(D59/M59,3)</f>
        <v>14.71</v>
      </c>
      <c r="W59" s="9">
        <f t="shared" ref="W59" si="444">ROUND(E59/N59,3)</f>
        <v>6.5</v>
      </c>
      <c r="X59" s="13">
        <f t="shared" ref="X59" si="445">ROUND(F59/O59,3)</f>
        <v>13.522</v>
      </c>
      <c r="Y59" s="13">
        <f t="shared" ref="Y59" si="446">ROUND(G59/P59,3)</f>
        <v>19.071000000000002</v>
      </c>
      <c r="Z59" s="9">
        <f t="shared" ref="Z59" si="447">ROUND(H59/Q59,3)</f>
        <v>11.5</v>
      </c>
      <c r="AA59" s="14">
        <f t="shared" ref="AA59" si="448">ROUND(I59/R59,3)</f>
        <v>16.077000000000002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56.243847874720345</v>
      </c>
      <c r="C60" s="5">
        <f t="shared" ref="C60" si="450">D59/D60</f>
        <v>1.0201342281879193</v>
      </c>
      <c r="D60" s="4">
        <f t="shared" ref="D60" si="451">SUM(F60:H60)</f>
        <v>8.9400000000000013</v>
      </c>
      <c r="E60" s="18">
        <v>0.44</v>
      </c>
      <c r="F60" s="18">
        <v>6.09</v>
      </c>
      <c r="G60" s="18">
        <v>2.62</v>
      </c>
      <c r="H60" s="18">
        <v>0.23</v>
      </c>
      <c r="I60" s="19">
        <v>2.04</v>
      </c>
      <c r="J60" s="20" t="s">
        <v>68</v>
      </c>
      <c r="K60" s="5">
        <f t="shared" ref="K60" si="452">M$2/M60</f>
        <v>67.274193548387075</v>
      </c>
      <c r="L60" s="5">
        <f t="shared" ref="L60" si="453">M59/M60</f>
        <v>1</v>
      </c>
      <c r="M60" s="4">
        <f t="shared" ref="M60" si="454">SUM(O60:Q60)</f>
        <v>0.62000000000000011</v>
      </c>
      <c r="N60" s="18">
        <v>7.0000000000000007E-2</v>
      </c>
      <c r="O60" s="18">
        <v>0.46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0.83599999999999997</v>
      </c>
      <c r="U60" s="5">
        <f t="shared" ref="U60" si="456">ROUND(C60/L60,3)</f>
        <v>1.02</v>
      </c>
      <c r="V60" s="4">
        <f t="shared" ref="V60" si="457">ROUND(D60/M60,3)</f>
        <v>14.419</v>
      </c>
      <c r="W60" s="18">
        <f t="shared" ref="W60" si="458">ROUND(E60/N60,3)</f>
        <v>6.2859999999999996</v>
      </c>
      <c r="X60" s="18">
        <f t="shared" ref="X60" si="459">ROUND(F60/O60,3)</f>
        <v>13.239000000000001</v>
      </c>
      <c r="Y60" s="18">
        <f t="shared" ref="Y60" si="460">ROUND(G60/P60,3)</f>
        <v>18.713999999999999</v>
      </c>
      <c r="Z60" s="18">
        <f t="shared" ref="Z60" si="461">ROUND(H60/Q60,3)</f>
        <v>11.5</v>
      </c>
      <c r="AA60" s="19">
        <f t="shared" ref="AA60" si="462">ROUND(I60/R60,3)</f>
        <v>14.571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57.203640500568817</v>
      </c>
      <c r="C61" s="5">
        <f t="shared" ref="C61" si="464">D60/D61</f>
        <v>1.0170648464163823</v>
      </c>
      <c r="D61" s="4">
        <f t="shared" ref="D61" si="465">SUM(F61:H61)</f>
        <v>8.7900000000000009</v>
      </c>
      <c r="E61" s="9">
        <v>0.42</v>
      </c>
      <c r="F61" s="13">
        <v>5.92</v>
      </c>
      <c r="G61" s="9">
        <v>2.64</v>
      </c>
      <c r="H61" s="18">
        <v>0.23</v>
      </c>
      <c r="I61" s="10">
        <v>2.06</v>
      </c>
      <c r="J61" s="20" t="s">
        <v>69</v>
      </c>
      <c r="K61" s="5">
        <f t="shared" ref="K61" si="466">M$2/M61</f>
        <v>67.274193548387075</v>
      </c>
      <c r="L61" s="5">
        <f t="shared" ref="L61" si="467">M60/M61</f>
        <v>1</v>
      </c>
      <c r="M61" s="4">
        <f t="shared" ref="M61" si="468">SUM(O61:Q61)</f>
        <v>0.62000000000000011</v>
      </c>
      <c r="N61" s="9">
        <v>7.0000000000000007E-2</v>
      </c>
      <c r="O61" s="13">
        <v>0.46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0.85</v>
      </c>
      <c r="U61" s="5">
        <f t="shared" ref="U61" si="470">ROUND(C61/L61,3)</f>
        <v>1.0169999999999999</v>
      </c>
      <c r="V61" s="4">
        <f t="shared" ref="V61" si="471">ROUND(D61/M61,3)</f>
        <v>14.177</v>
      </c>
      <c r="W61" s="9">
        <f t="shared" ref="W61" si="472">ROUND(E61/N61,3)</f>
        <v>6</v>
      </c>
      <c r="X61" s="13">
        <f t="shared" ref="X61" si="473">ROUND(F61/O61,3)</f>
        <v>12.87</v>
      </c>
      <c r="Y61" s="9">
        <f t="shared" ref="Y61" si="474">ROUND(G61/P61,3)</f>
        <v>18.856999999999999</v>
      </c>
      <c r="Z61" s="18">
        <f t="shared" ref="Z61" si="475">ROUND(H61/Q61,3)</f>
        <v>11.5</v>
      </c>
      <c r="AA61" s="10">
        <f t="shared" ref="AA61" si="476">ROUND(I61/R61,3)</f>
        <v>15.846</v>
      </c>
    </row>
    <row r="62" spans="1:28" ht="14.25" customHeight="1" x14ac:dyDescent="0.2">
      <c r="A62" s="20" t="s">
        <v>70</v>
      </c>
      <c r="B62" s="5">
        <f t="shared" ref="B62" si="477">D$2/D62</f>
        <v>58.672112018669772</v>
      </c>
      <c r="C62" s="5">
        <f t="shared" ref="C62" si="478">D61/D62</f>
        <v>1.0256709451575263</v>
      </c>
      <c r="D62" s="4">
        <f t="shared" ref="D62" si="479">SUM(F62:H62)</f>
        <v>8.57</v>
      </c>
      <c r="E62" s="9">
        <v>0.38</v>
      </c>
      <c r="F62" s="13">
        <v>5.75</v>
      </c>
      <c r="G62" s="9">
        <v>2.59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1.0163934426229508</v>
      </c>
      <c r="M62" s="4">
        <f t="shared" ref="M62" si="482">SUM(O62:Q62)</f>
        <v>0.6100000000000001</v>
      </c>
      <c r="N62" s="9">
        <v>0.06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0.85799999999999998</v>
      </c>
      <c r="U62" s="5">
        <f t="shared" ref="U62" si="484">ROUND(C62/L62,3)</f>
        <v>1.0089999999999999</v>
      </c>
      <c r="V62" s="4">
        <f t="shared" ref="V62" si="485">ROUND(D62/M62,3)</f>
        <v>14.048999999999999</v>
      </c>
      <c r="W62" s="9">
        <f t="shared" ref="W62" si="486">ROUND(E62/N62,3)</f>
        <v>6.3330000000000002</v>
      </c>
      <c r="X62" s="13">
        <f t="shared" ref="X62" si="487">ROUND(F62/O62,3)</f>
        <v>12.778</v>
      </c>
      <c r="Y62" s="9">
        <f t="shared" ref="Y62" si="488">ROUND(G62/P62,3)</f>
        <v>18.5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59.016431924882625</v>
      </c>
      <c r="C63" s="5">
        <f t="shared" ref="C63" si="492">D62/D63</f>
        <v>1.005868544600939</v>
      </c>
      <c r="D63" s="4">
        <f t="shared" ref="D63" si="493">SUM(F63:H63)</f>
        <v>8.52</v>
      </c>
      <c r="E63" s="9">
        <v>0.42</v>
      </c>
      <c r="F63" s="9">
        <v>5.7</v>
      </c>
      <c r="G63" s="9">
        <v>2.59</v>
      </c>
      <c r="H63" s="9">
        <v>0.23</v>
      </c>
      <c r="I63" s="10">
        <v>2.0299999999999998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0.86299999999999999</v>
      </c>
      <c r="U63" s="5">
        <f t="shared" ref="U63" si="498">ROUND(C63/L63,3)</f>
        <v>1.006</v>
      </c>
      <c r="V63" s="4">
        <f t="shared" ref="V63" si="499">ROUND(D63/M63,3)</f>
        <v>13.967000000000001</v>
      </c>
      <c r="W63" s="9">
        <f t="shared" ref="W63" si="500">ROUND(E63/N63,3)</f>
        <v>6</v>
      </c>
      <c r="X63" s="18">
        <f t="shared" ref="X63" si="501">ROUND(F63/O63,3)</f>
        <v>12.667</v>
      </c>
      <c r="Y63" s="9">
        <f t="shared" ref="Y63" si="502">ROUND(G63/P63,3)</f>
        <v>18.5</v>
      </c>
      <c r="Z63" s="18">
        <f t="shared" ref="Z63" si="503">ROUND(H63/Q63,3)</f>
        <v>11.5</v>
      </c>
      <c r="AA63" s="10">
        <f t="shared" ref="AA63" si="504">ROUND(I63/R63,3)</f>
        <v>15.615</v>
      </c>
    </row>
    <row r="64" spans="1:28" ht="14.25" customHeight="1" x14ac:dyDescent="0.2">
      <c r="A64" s="12" t="s">
        <v>73</v>
      </c>
      <c r="B64" s="2">
        <f t="shared" ref="B64" si="505">D$2/D64</f>
        <v>65.216601815823594</v>
      </c>
      <c r="C64" s="2">
        <f t="shared" ref="C64" si="506">D63/D64</f>
        <v>1.1050583657587547</v>
      </c>
      <c r="D64" s="6">
        <f t="shared" ref="D64" si="507">SUM(F64:H64)</f>
        <v>7.7100000000000009</v>
      </c>
      <c r="E64" s="9">
        <v>0.4</v>
      </c>
      <c r="F64" s="13">
        <v>4.8600000000000003</v>
      </c>
      <c r="G64" s="9">
        <v>2.62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0.06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0.84399999999999997</v>
      </c>
      <c r="U64" s="2">
        <f t="shared" ref="U64" si="512">ROUND(C64/L64,3)</f>
        <v>0.97799999999999998</v>
      </c>
      <c r="V64" s="6">
        <f t="shared" ref="V64" si="513">ROUND(D64/M64,3)</f>
        <v>14.278</v>
      </c>
      <c r="W64" s="9">
        <f t="shared" ref="W64" si="514">ROUND(E64/N64,3)</f>
        <v>6.6669999999999998</v>
      </c>
      <c r="X64" s="13">
        <f t="shared" ref="X64" si="515">ROUND(F64/O64,3)</f>
        <v>12.789</v>
      </c>
      <c r="Y64" s="9">
        <f t="shared" ref="Y64" si="516">ROUND(G64/P64,3)</f>
        <v>18.713999999999999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7" ht="14.25" customHeight="1" x14ac:dyDescent="0.2">
      <c r="A65" s="12" t="s">
        <v>74</v>
      </c>
      <c r="B65" s="2">
        <f t="shared" ref="B65" si="519">D$2/D65</f>
        <v>68.41088435374148</v>
      </c>
      <c r="C65" s="2">
        <f t="shared" ref="C65" si="520">D64/D65</f>
        <v>1.0489795918367348</v>
      </c>
      <c r="D65" s="6">
        <f t="shared" ref="D65" si="521">SUM(F65:H65)</f>
        <v>7.3500000000000005</v>
      </c>
      <c r="E65" s="9">
        <v>0.4</v>
      </c>
      <c r="F65" s="13">
        <v>4.53</v>
      </c>
      <c r="G65" s="9">
        <v>2.59</v>
      </c>
      <c r="H65" s="9">
        <v>0.23</v>
      </c>
      <c r="I65" s="10">
        <v>2.02</v>
      </c>
      <c r="J65" s="12" t="s">
        <v>74</v>
      </c>
      <c r="K65" s="2">
        <f t="shared" ref="K65" si="522">M$2/M65</f>
        <v>83.419999999999987</v>
      </c>
      <c r="L65" s="2">
        <f t="shared" ref="L65" si="523">M64/M65</f>
        <v>1.08</v>
      </c>
      <c r="M65" s="6">
        <f t="shared" ref="M65" si="524">SUM(O65:Q65)</f>
        <v>0.5</v>
      </c>
      <c r="N65" s="9">
        <v>0.08</v>
      </c>
      <c r="O65" s="13">
        <v>0.35</v>
      </c>
      <c r="P65" s="9">
        <v>0.13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0.82</v>
      </c>
      <c r="U65" s="2">
        <f t="shared" ref="U65" si="526">ROUND(C65/L65,3)</f>
        <v>0.97099999999999997</v>
      </c>
      <c r="V65" s="6">
        <f t="shared" ref="V65" si="527">ROUND(D65/M65,3)</f>
        <v>14.7</v>
      </c>
      <c r="W65" s="9">
        <f t="shared" ref="W65" si="528">ROUND(E65/N65,3)</f>
        <v>5</v>
      </c>
      <c r="X65" s="13">
        <f t="shared" ref="X65" si="529">ROUND(F65/O65,3)</f>
        <v>12.943</v>
      </c>
      <c r="Y65" s="9">
        <f t="shared" ref="Y65" si="530">ROUND(G65/P65,3)</f>
        <v>19.922999999999998</v>
      </c>
      <c r="Z65" s="9">
        <f t="shared" ref="Z65" si="531">ROUND(H65/Q65,3)</f>
        <v>11.5</v>
      </c>
      <c r="AA65" s="10">
        <f t="shared" ref="AA65" si="532">ROUND(I65/R65,3)</f>
        <v>15.538</v>
      </c>
    </row>
    <row r="66" spans="1:27" ht="14.25" customHeight="1" x14ac:dyDescent="0.2">
      <c r="A66" s="12" t="s">
        <v>75</v>
      </c>
      <c r="B66" s="2">
        <f t="shared" ref="B66" si="533">D$2/D66</f>
        <v>82.160130718954221</v>
      </c>
      <c r="C66" s="2">
        <f t="shared" ref="C66" si="534">D65/D66</f>
        <v>1.2009803921568627</v>
      </c>
      <c r="D66" s="6">
        <f t="shared" ref="D66" si="535">SUM(F66:H66)</f>
        <v>6.120000000000001</v>
      </c>
      <c r="E66" s="9">
        <v>0.41</v>
      </c>
      <c r="F66" s="13">
        <v>3.24</v>
      </c>
      <c r="G66" s="9">
        <v>2.65</v>
      </c>
      <c r="H66" s="9">
        <v>0.23</v>
      </c>
      <c r="I66" s="10">
        <v>2.0299999999999998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1.0638297872340425</v>
      </c>
      <c r="M66" s="6">
        <f t="shared" ref="M66" si="538">SUM(O66:Q66)</f>
        <v>0.47000000000000003</v>
      </c>
      <c r="N66" s="9">
        <v>0.06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0.92600000000000005</v>
      </c>
      <c r="U66" s="2">
        <f t="shared" ref="U66" si="540">ROUND(C66/L66,3)</f>
        <v>1.129</v>
      </c>
      <c r="V66" s="6">
        <f t="shared" ref="V66" si="541">ROUND(D66/M66,3)</f>
        <v>13.021000000000001</v>
      </c>
      <c r="W66" s="9">
        <f t="shared" ref="W66" si="542">ROUND(E66/N66,3)</f>
        <v>6.8330000000000002</v>
      </c>
      <c r="X66" s="13">
        <f t="shared" ref="X66" si="543">ROUND(F66/O66,3)</f>
        <v>10.452</v>
      </c>
      <c r="Y66" s="9">
        <f t="shared" ref="Y66" si="544">ROUND(G66/P66,3)</f>
        <v>18.928999999999998</v>
      </c>
      <c r="Z66" s="9">
        <f t="shared" ref="Z66" si="545">ROUND(H66/Q66,3)</f>
        <v>11.5</v>
      </c>
      <c r="AA66" s="10">
        <f t="shared" ref="AA66" si="546">ROUND(I66/R66,3)</f>
        <v>15.615</v>
      </c>
    </row>
    <row r="67" spans="1:27" ht="14.25" customHeight="1" x14ac:dyDescent="0.2">
      <c r="A67" s="12" t="s">
        <v>76</v>
      </c>
      <c r="B67" s="2">
        <f t="shared" ref="B67" si="547">D$2/D67</f>
        <v>104.75416666666666</v>
      </c>
      <c r="C67" s="2">
        <f t="shared" ref="C67" si="548">D66/D67</f>
        <v>1.2750000000000004</v>
      </c>
      <c r="D67" s="6">
        <f t="shared" ref="D67" si="549">SUM(F67:H67)</f>
        <v>4.8</v>
      </c>
      <c r="E67" s="9">
        <v>0.44</v>
      </c>
      <c r="F67" s="9">
        <v>3.24</v>
      </c>
      <c r="G67" s="13">
        <v>1.34</v>
      </c>
      <c r="H67" s="9">
        <v>0.22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7.0000000000000007E-2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1.155</v>
      </c>
      <c r="U67" s="2">
        <f t="shared" ref="U67" si="554">ROUND(C67/L67,3)</f>
        <v>1.248</v>
      </c>
      <c r="V67" s="6">
        <f t="shared" ref="V67" si="555">ROUND(D67/M67,3)</f>
        <v>10.435</v>
      </c>
      <c r="W67" s="9">
        <f t="shared" ref="W67" si="556">ROUND(E67/N67,3)</f>
        <v>6.2859999999999996</v>
      </c>
      <c r="X67" s="18">
        <f t="shared" ref="X67" si="557">ROUND(F67/O67,3)</f>
        <v>10.452</v>
      </c>
      <c r="Y67" s="13">
        <f t="shared" ref="Y67" si="558">ROUND(G67/P67,3)</f>
        <v>10.308</v>
      </c>
      <c r="Z67" s="9">
        <f t="shared" ref="Z67" si="559">ROUND(H67/Q67,3)</f>
        <v>11</v>
      </c>
      <c r="AA67" s="14">
        <f t="shared" ref="AA67" si="560">ROUND(I67/R67,3)</f>
        <v>6.2859999999999996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2026-09-22T08:44:06Z</dcterms:modified>
</cp:coreProperties>
</file>